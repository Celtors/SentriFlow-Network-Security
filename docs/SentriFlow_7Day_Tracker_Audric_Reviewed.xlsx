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state="visible" name="Dashboard" sheetId="1" r:id="rId5"/>
    <s:sheet state="visible" name="Tasks" sheetId="2" r:id="rId6"/>
    <s:sheet state="visible" name="Setup" sheetId="3" r:id="rId7"/>
  </s:sheets>
  <s:definedNames>
    <s:definedName hidden="1" localSheetId="1" name="_xlnm._FilterDatabase">Tasks!$A$4:$R$40</s:definedName>
  </s:definedNames>
  <s:calcPr calcMode="auto" fullCalcOnLoad="1" forceFullCalc="1"/>
</s:workbook>
</file>

<file path=xl/sharedStrings.xml><?xml version="1.0" encoding="utf-8"?>
<sst xmlns="http://schemas.openxmlformats.org/spreadsheetml/2006/main" count="481" uniqueCount="261">
  <si>
    <t>SentriFlow 7-Day Task Tracker: Software MVP + Full Proposal (Team Senklok)</t>
  </si>
  <si>
    <t>SentriFlow 7-Day Plan: Dashboard</t>
  </si>
  <si>
    <t>SentriFlow 7-Day Tracker: Setup</t>
  </si>
  <si>
    <t>Edit Status (column O) and Notes (column R). Owner name, dates, % done and Gantt are formulas.</t>
  </si>
  <si>
    <t>Edit the yellow cells. Everything else recalculates.</t>
  </si>
  <si>
    <t>Gantt:</t>
  </si>
  <si>
    <t>blue=Software, orange=Proposal, green=Done</t>
  </si>
  <si>
    <t>Day 1 start date</t>
  </si>
  <si>
    <t>Assumption: Day 1 = today (20 Oct 2026). Change if your 7-day window starts elsewhere.</t>
  </si>
  <si>
    <t>Available hours per person per day</t>
  </si>
  <si>
    <t>Overall</t>
  </si>
  <si>
    <t>Assumption: 6 h/day per member. Adjust to real availability alongside other courses.</t>
  </si>
  <si>
    <t>Team roles (role codes are used in the Tasks sheet)</t>
  </si>
  <si>
    <t>Total tasks</t>
  </si>
  <si>
    <t>Done</t>
  </si>
  <si>
    <t>In progress</t>
  </si>
  <si>
    <t>Blocked</t>
  </si>
  <si>
    <t>Not started</t>
  </si>
  <si>
    <t>Overdue</t>
  </si>
  <si>
    <t>Est. hours</t>
  </si>
  <si>
    <t>Progress (hours-weighted)</t>
  </si>
  <si>
    <t>ID</t>
  </si>
  <si>
    <t>Workstream</t>
  </si>
  <si>
    <t>Task</t>
  </si>
  <si>
    <t>Description</t>
  </si>
  <si>
    <t>Definition of done</t>
  </si>
  <si>
    <t>Owner role</t>
  </si>
  <si>
    <t>Owner</t>
  </si>
  <si>
    <t>Support</t>
  </si>
  <si>
    <t>Start day</t>
  </si>
  <si>
    <t>Due day</t>
  </si>
  <si>
    <t>Start date</t>
  </si>
  <si>
    <t>Due date</t>
  </si>
  <si>
    <t>Role code</t>
  </si>
  <si>
    <t>Priority</t>
  </si>
  <si>
    <t>Status</t>
  </si>
  <si>
    <t>% done</t>
  </si>
  <si>
    <t>Depends on</t>
  </si>
  <si>
    <t>Notes</t>
  </si>
  <si>
    <t>D1</t>
  </si>
  <si>
    <t>D2</t>
  </si>
  <si>
    <t>D3</t>
  </si>
  <si>
    <t>D4</t>
  </si>
  <si>
    <t>Name</t>
  </si>
  <si>
    <t>D5</t>
  </si>
  <si>
    <t>D6</t>
  </si>
  <si>
    <t>Focus</t>
  </si>
  <si>
    <t>D7</t>
  </si>
  <si>
    <t>S01</t>
  </si>
  <si>
    <t>R1</t>
  </si>
  <si>
    <t>Software</t>
  </si>
  <si>
    <t>Platform decision &amp; dev environment</t>
  </si>
  <si>
    <t>Marcel Luther Sitorus</t>
  </si>
  <si>
    <t>Choose the primary OS (Windows 11 recommended, as in the concept proposal) and fix it for the whole build. Create Git repo, Python venv, Node setup, folders (proxy/, backend/, frontend/, tests/), linters and README.</t>
  </si>
  <si>
    <t>Project lead, proposal writing, user validation, demo data</t>
  </si>
  <si>
    <t>Decision recorded; all 4 members can clone and run the hello-world proxy</t>
  </si>
  <si>
    <t>R2</t>
  </si>
  <si>
    <t>Audric Yusuf Maynard Simatupang</t>
  </si>
  <si>
    <t>Proxy, backend, Halt engine, integration</t>
  </si>
  <si>
    <t>R3</t>
  </si>
  <si>
    <t>Mahatma Brahmana</t>
  </si>
  <si>
    <t>Process mapping, inspector, blocklist, database, tests</t>
  </si>
  <si>
    <t>R4</t>
  </si>
  <si>
    <t>Ishak Palentino Napitupulu</t>
  </si>
  <si>
    <t>Frontend dashboard, diagrams, proposal formatting</t>
  </si>
  <si>
    <t>Assumption: the mapping of members to roles is my suggestion (names taken from the cover of CP_Senklok.pdf). Swap names freely.</t>
  </si>
  <si>
    <t>Status values</t>
  </si>
  <si>
    <t>Progress counted</t>
  </si>
  <si>
    <t>Priority values</t>
  </si>
  <si>
    <t>Core</t>
  </si>
  <si>
    <t>Must</t>
  </si>
  <si>
    <t>Should</t>
  </si>
  <si>
    <t>Extended</t>
  </si>
  <si>
    <t>Stretch</t>
  </si>
  <si>
    <t>How to use: update only the Status column (and Notes) in the Tasks sheet. % done, dates, Gantt bars and the Dashboard update automatically. Extended and Stretch tasks are the first to cut if the Day-4 checkpoint is missed.</t>
  </si>
  <si>
    <t>By workstream</t>
  </si>
  <si>
    <t>Tasks</t>
  </si>
  <si>
    <t>S02</t>
  </si>
  <si>
    <t>Proxy pipeline + local CA</t>
  </si>
  <si>
    <t>Run mitmproxy with an addon on 127.0.0.1. Install the local CA with user consent. Route system HTTP/HTTPS via the proxy and restore settings automatically on exit.</t>
  </si>
  <si>
    <t>Open an HTTPS site in a browser and see the decrypted request logged; proxy settings restored after stop</t>
  </si>
  <si>
    <t>Proposal</t>
  </si>
  <si>
    <t>S03</t>
  </si>
  <si>
    <t>Flow capture &amp; event model</t>
  </si>
  <si>
    <t>Extract host, URL, method, headers, body size and timestamps from each flow. Define one JSON event schema shared by backend and frontend.</t>
  </si>
  <si>
    <t>Schema document + addon emits events for every flow</t>
  </si>
  <si>
    <t>S04</t>
  </si>
  <si>
    <t>Process attribution (psutil)</t>
  </si>
  <si>
    <t>Map client source port to PID and executable name. Handle unknown or short-lived processes.</t>
  </si>
  <si>
    <t>At least 90% of captured flows in a test session carry a process name</t>
  </si>
  <si>
    <t>Workload by owner (primary owner only)</t>
  </si>
  <si>
    <t>Role</t>
  </si>
  <si>
    <t>Capacity (h)</t>
  </si>
  <si>
    <t>Load</t>
  </si>
  <si>
    <t>S05</t>
  </si>
  <si>
    <t>SQLite schema &amp; data layer</t>
  </si>
  <si>
    <t>Tables for flows, rules, alerts, blocklist, settings. Data-access functions, masked logging (labels and masked samples only, no full payloads).</t>
  </si>
  <si>
    <t>Schema applied; CRUD functions covered by tests</t>
  </si>
  <si>
    <t>S06</t>
  </si>
  <si>
    <t>FastAPI backend: REST + WebSocket</t>
  </si>
  <si>
    <t>Endpoints for flows, rules, alerts, settings and Allow/Block decisions. WebSocket pushes live events. Bind to 127.0.0.1 only, session token and origin check. Freeze the API contract by end of Day 2 so the frontend can mock against it.</t>
  </si>
  <si>
    <t>API contract doc shared; live events reach a WebSocket test client</t>
  </si>
  <si>
    <t>S03, S05</t>
  </si>
  <si>
    <t>S07</t>
  </si>
  <si>
    <t>Tracker blocklist loader &amp; matcher</t>
  </si>
  <si>
    <t>Load StevenBlack hosts / EasyPrivacy into SQLite and match request destinations (including subdomains). Option: alert or auto-block.</t>
  </si>
  <si>
    <t>Known tracker domains matched in a test list; unknown domain not matched</t>
  </si>
  <si>
    <t>S08</t>
  </si>
  <si>
    <t>PII &amp; sensitive-string inspector</t>
  </si>
  <si>
    <t>Scan URL, headers and body for email, phone, card numbers (Luhn) and user-defined strings. Size and content-type limits. Return pattern label plus masked sample.</t>
  </si>
  <si>
    <t>Unit tests pass; 100% of seeded dummy PII detected</t>
  </si>
  <si>
    <t>S09</t>
  </si>
  <si>
    <t>Decision engine &amp; Halt (hold/release)</t>
  </si>
  <si>
    <t>Trigger Halt when an unknown process sends a large payload, PII is found or a tracker is contacted. Hold the flow until the user decides or timeout (default Block). Rules once/always with precedence, saved in SQLite.</t>
  </si>
  <si>
    <t>Held request released or dropped by decision; decision applied within 1 second</t>
  </si>
  <si>
    <t>S04, S06, S07, S08</t>
  </si>
  <si>
    <t>S10</t>
  </si>
  <si>
    <t>Frontend scaffold &amp; WebSocket client</t>
  </si>
  <si>
    <t>React + Tailwind project, routing, layout, WebSocket hook. Build against mock data from the API contract so work does not wait for the backend.</t>
  </si>
  <si>
    <t>Dashboard shell renders mock events</t>
  </si>
  <si>
    <t>Load above 100% (red) means the owner has more estimated hours than available capacity.</t>
  </si>
  <si>
    <t>By day</t>
  </si>
  <si>
    <t>Day</t>
  </si>
  <si>
    <t>Date</t>
  </si>
  <si>
    <t>Tasks due</t>
  </si>
  <si>
    <t>Done (of due)</t>
  </si>
  <si>
    <t>S11</t>
  </si>
  <si>
    <t>Tasks active</t>
  </si>
  <si>
    <t>Live traffic dashboard</t>
  </si>
  <si>
    <t>Software milestone</t>
  </si>
  <si>
    <t>Connections grouped by application, live upload/download speed (Recharts), filterable flow table, plain-language labels.</t>
  </si>
  <si>
    <t>Proposal milestone</t>
  </si>
  <si>
    <t>Real events from the backend show up live, grouped per app</t>
  </si>
  <si>
    <t>S06, S10</t>
  </si>
  <si>
    <t>S12</t>
  </si>
  <si>
    <t>Halt prompt UI &amp; rules page</t>
  </si>
  <si>
    <t>Modal showing process, destination, matched pattern and size. Allow/Block once or always, countdown to default Block, desktop notification fallback. Rules list with edit/delete.</t>
  </si>
  <si>
    <t>Prompt appears on a held request and the decision reaches the backend</t>
  </si>
  <si>
    <t>Platform decided; repo ready; proxy intercepting HTTPS in a browser</t>
  </si>
  <si>
    <t>Outline, owners and page budget set; survey launched; cover fixed</t>
  </si>
  <si>
    <t>S09, S10</t>
  </si>
  <si>
    <t>S13</t>
  </si>
  <si>
    <t>Alerts view &amp; privacy score</t>
  </si>
  <si>
    <t>High-priority PII alert list and a transparent privacy score (shows how it is computed from blocked leaks and trackers).</t>
  </si>
  <si>
    <t>Seeded PII leak raises an alert and changes the score</t>
  </si>
  <si>
    <t>Flow capture, process attribution, DB schema; API contract frozen</t>
  </si>
  <si>
    <t>Introduction and root-cause analysis drafted</t>
  </si>
  <si>
    <t>S08, S11</t>
  </si>
  <si>
    <t>Backend REST + WebSocket live; blocklist and PII inspector working; frontend running on mock data</t>
  </si>
  <si>
    <t>Existing-solutions comparison and Proposed Solution drafted; diagrams started</t>
  </si>
  <si>
    <t>S14</t>
  </si>
  <si>
    <t>Geo-map (offline GeoIP + Leaflet)</t>
  </si>
  <si>
    <t>Plot destination countries from an offline IP-to-location database. Do only if core features work end to end.</t>
  </si>
  <si>
    <t>Map shows destinations from a test session</t>
  </si>
  <si>
    <t>CHECKPOINT: Halt hold/release works end to end; live dashboard on real data</t>
  </si>
  <si>
    <t>Survey closed; diagrams and Technical Implementation drafted</t>
  </si>
  <si>
    <t>S15</t>
  </si>
  <si>
    <t>Certificate pinning &amp; QUIC handling</t>
  </si>
  <si>
    <t>Mark pinned apps as 'encrypted, not inspected' (host, size, process still logged). Script to block UDP 443 for the demo so browsers fall back to HTTP/2.</t>
  </si>
  <si>
    <t>Pinned app shown correctly; browser traffic passes through the proxy after the script</t>
  </si>
  <si>
    <t>Halt prompt UI, alerts, privacy score, pinning/QUIC handling; tests running</t>
  </si>
  <si>
    <t>Expected MVP/impact/plan done; survey results integrated; references checked</t>
  </si>
  <si>
    <t>S16</t>
  </si>
  <si>
    <t>Anomaly flag (rule-based baseline)</t>
  </si>
  <si>
    <t>Simple per-process baseline (e.g., a calculator opening a connection) raises an alert. IsolationForest only if time remains.</t>
  </si>
  <si>
    <t>Test process outside its baseline is flagged</t>
  </si>
  <si>
    <t>S04, S05</t>
  </si>
  <si>
    <t>Integration and bug fixing; geo-map/anomaly only if on track</t>
  </si>
  <si>
    <t>Full draft assembled (max 15 pages); peer review against rubric</t>
  </si>
  <si>
    <t>S17</t>
  </si>
  <si>
    <t>Automated tests (unit + integration)</t>
  </si>
  <si>
    <t>Unit tests for Luhn, regex patterns, rule precedence and blocklist matching. Integration test using the local test server.</t>
  </si>
  <si>
    <t>Test suite runs with one command and passes</t>
  </si>
  <si>
    <t>KPI measurement, rehearsal, backup video, code freeze</t>
  </si>
  <si>
    <t>S08, S09</t>
  </si>
  <si>
    <t>Final fixes; export FPH_Senklok.pdf; submit</t>
  </si>
  <si>
    <t>Notes: milestones are my proposed targets. Overdue uses today's date and the Day 1 date in Setup.</t>
  </si>
  <si>
    <t>S18</t>
  </si>
  <si>
    <t>Demo environment &amp; seeded data</t>
  </si>
  <si>
    <t>Local test server with a tracker-heavy page and a form with seeded dummy PII (dummy data only). Demo script with exact click path.</t>
  </si>
  <si>
    <t>Demo script runs without internet access</t>
  </si>
  <si>
    <t>S19</t>
  </si>
  <si>
    <t>End-to-end integration &amp; bug fixing</t>
  </si>
  <si>
    <t>Run the full flow: page load, tracker alert, PII halt, block, score update. Fix blockers only, no new features.</t>
  </si>
  <si>
    <t>Full demo path works 3 times in a row</t>
  </si>
  <si>
    <t>All</t>
  </si>
  <si>
    <t>S09-S13</t>
  </si>
  <si>
    <t>S20</t>
  </si>
  <si>
    <t>KPI measurement, rehearsal &amp; backup video</t>
  </si>
  <si>
    <t>Measure targets: at least 90% flows attributed, 100% seeded PII detected, decision within 1 second. Rehearse demo and record a backup video. Take screenshots for the proposal.</t>
  </si>
  <si>
    <t>KPI table with measured values; video file saved</t>
  </si>
  <si>
    <t>R3, R4</t>
  </si>
  <si>
    <t>S21</t>
  </si>
  <si>
    <t>Code freeze, cleanup &amp; setup guide</t>
  </si>
  <si>
    <t>Freeze the main branch, run linters, write the README with install, CA removal and demo steps.</t>
  </si>
  <si>
    <t>Tagged release; README tested by a teammate</t>
  </si>
  <si>
    <t>P01</t>
  </si>
  <si>
    <t>Kickoff: outline, page budget &amp; ownership</t>
  </si>
  <si>
    <t>Map the official structure (Cover, Introduction, Problem Analysis, Proposed Solution, System Design, Technical Implementation, Expected MVP, References) to an outline. Page budget within the 15-page limit (cover, references, appendix excluded). Choose the writing tool, assign sections, set up an IEEE reference manager.</t>
  </si>
  <si>
    <t>Outline with page budget and owner per section; shared document created</t>
  </si>
  <si>
    <t>P02</t>
  </si>
  <si>
    <t>User validation: survey + interviews</t>
  </si>
  <si>
    <t>The concept proposal has no user evidence, yet Problem &amp; User Validation is 20% of the score. Launch a short survey (about 10 questions, target 30 or more responses from students, remote workers, SME staff) and run 3 to 5 short interviews. Close on Day 4.</t>
  </si>
  <si>
    <t>Raw responses + summary charts + 3 to 5 interview notes</t>
  </si>
  <si>
    <t>P03</t>
  </si>
  <si>
    <t>Cover page &amp; placeholder cleanup</t>
  </si>
  <si>
    <t>Fix the cover (title, team name Senklok, member names, institutions). Replace placeholders in the concept proposal such as [Team Name] and [Windows 11 / to be confirmed].</t>
  </si>
  <si>
    <t>Cover done; no placeholder text left</t>
  </si>
  <si>
    <t>P04</t>
  </si>
  <si>
    <t>Introduction</t>
  </si>
  <si>
    <t>Background with sourced data, Problem Identification (specific problem, causes, impacts) and 3 to 4 SMART objectives (use the KPIs: 90% attribution, 100% PII detection, decision within 1 s).</t>
  </si>
  <si>
    <t>Section drafted, every statistic cited</t>
  </si>
  <si>
    <t>P05</t>
  </si>
  <si>
    <t>Problem Analysis: root cause</t>
  </si>
  <si>
    <t>Root-cause analysis with a fishbone diagram or 5-Whys: encrypted traffic, invisible per-app behavior, expert-only tools, lack of consent.</t>
  </si>
  <si>
    <t>Diagram + 1 to 2 pages of text</t>
  </si>
  <si>
    <t>P06</t>
  </si>
  <si>
    <t>Problem Analysis: existing solutions &amp; opportunity</t>
  </si>
  <si>
    <t>Compare existing tools (GlassWire, Little Snitch, Wireshark, mitmproxy and open-source firewalls such as OpenSnitch or Portmaster) with strengths, limits, gaps. Verify each tool's features on its official site. Derive the opportunity.</t>
  </si>
  <si>
    <t>Comparison table + opportunity statement</t>
  </si>
  <si>
    <t>P07</t>
  </si>
  <si>
    <t>Proposed Solution section</t>
  </si>
  <si>
    <t>Solution overview, main features and roles, workflow (input to output), key innovations versus existing tools (reuse and extend Table I of the concept proposal).</t>
  </si>
  <si>
    <t>Section drafted with workflow figure reference</t>
  </si>
  <si>
    <t>P08</t>
  </si>
  <si>
    <t>System Design diagrams</t>
  </si>
  <si>
    <t>System architecture, Halt workflow flowchart/sequence, use-case diagram, database ERD (flows, rules, alerts, blocklist, settings) and an API endpoint table. Use real names from the code.</t>
  </si>
  <si>
    <t>5 clean diagrams exported as images</t>
  </si>
  <si>
    <t>R2, R3</t>
  </si>
  <si>
    <t>S05, S06</t>
  </si>
  <si>
    <t>P09</t>
  </si>
  <si>
    <t>Technical Implementation section</t>
  </si>
  <si>
    <t>Stack with justification per layer, module breakdown, security-by-design measures, testing approach, feasibility evidence (prototype screenshots from Days 2 to 4), legal and ethical use (own device only, CA consent).</t>
  </si>
  <si>
    <t>Section drafted with at least 2 real screenshots</t>
  </si>
  <si>
    <t>S02, S04</t>
  </si>
  <si>
    <t>P10</t>
  </si>
  <si>
    <t>Expected MVP + impact, sustainability &amp; dev plan</t>
  </si>
  <si>
    <t>The official structure has no separate impact or plan section, but both are scored (15% each). Put them here: MVP features and KPIs, measurable impact, scalability and long-term use, timeline to Final Round, resources, risk table.</t>
  </si>
  <si>
    <t>Section drafted with MVP table, timeline and risks</t>
  </si>
  <si>
    <t>P11</t>
  </si>
  <si>
    <t>Integrate user-validation results</t>
  </si>
  <si>
    <t>Add survey and interview findings (counts, percentages, quotes) to Background, Problem Identification and Opportunity.</t>
  </si>
  <si>
    <t>Evidence visible in at least 2 sections</t>
  </si>
  <si>
    <t>P12</t>
  </si>
  <si>
    <t>References (IEEE) &amp; fact-check</t>
  </si>
  <si>
    <t>Check every cited number and source (e.g., IBM report figures, PP 33/2026), convert to IEEE format, number by order of first appearance.</t>
  </si>
  <si>
    <t>Every in-text citation matches a verified reference</t>
  </si>
  <si>
    <t>P04-P10</t>
  </si>
  <si>
    <t>P13</t>
  </si>
  <si>
    <t>Assemble full draft &amp; format</t>
  </si>
  <si>
    <t>Merge all sections, consistent figure and table numbering, English only, no SARA content, within 15 pages (excluding cover, references, appendix). Make diagram text legible.</t>
  </si>
  <si>
    <t>Single PDF draft within the page limit</t>
  </si>
  <si>
    <t>P04-P12</t>
  </si>
  <si>
    <t>P14</t>
  </si>
  <si>
    <t>Peer review against scoring rubric</t>
  </si>
  <si>
    <t>Each reviewer scores the draft on the 5 criteria (Problem 20, Solution 25, Technical 25, Impact 15, Plan 15) and lists the top fixes.</t>
  </si>
  <si>
    <t>Review sheet with scores and fix list</t>
  </si>
  <si>
    <t>P15</t>
  </si>
  <si>
    <t>Final revision, PDF export &amp; submission</t>
  </si>
  <si>
    <t>Apply fixes, export as FPH_Senklok.pdf, check page count, fonts, figures and links, submit before the deadline and keep a backup copy.</t>
  </si>
  <si>
    <t>Submission 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</si>
</sst>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 mmm\ yyyy"/>
    <numFmt numFmtId="165" formatCode="d\ mmm"/>
    <numFmt numFmtId="166" formatCode="0.0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rgb="FF595959"/>
      <name val="Arial"/>
    </font>
    <font>
      <i/>
      <sz val="10.0"/>
      <color theme="1"/>
      <name val="Arial"/>
    </font>
    <font>
      <b/>
      <sz val="8.0"/>
      <color theme="1"/>
      <name val="Arial"/>
    </font>
    <font>
      <i/>
      <sz val="8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595959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164" xfId="0" applyAlignment="1" applyBorder="1" applyFill="1" applyFont="1" applyNumberFormat="1">
      <alignment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1" fillId="2" fontId="7" numFmtId="166" xfId="0" applyAlignment="1" applyBorder="1" applyFill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horizontal="center" shrinkToFit="0" vertical="center" wrapText="0"/>
    </xf>
    <xf borderId="1" fillId="0" fontId="6" numFmtId="1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shrinkToFit="0" vertical="top" wrapText="1"/>
    </xf>
    <xf borderId="1" fillId="2" fontId="7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9" xfId="0" applyAlignment="1" applyFont="1" applyNumberFormat="1">
      <alignment readingOrder="0" shrinkToFit="0" vertical="bottom" wrapText="0"/>
    </xf>
    <xf borderId="0" fillId="0" fontId="10" numFmtId="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0" fontId="10" numFmtId="165" xfId="0" applyAlignment="1" applyBorder="1" applyFont="1" applyNumberFormat="1">
      <alignment horizontal="center" shrinkToFit="0" vertical="top" wrapText="1"/>
    </xf>
    <xf borderId="1" fillId="0" fontId="6" numFmtId="9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top" wrapText="1"/>
    </xf>
    <xf borderId="1" fillId="0" fontId="10" numFmtId="1" xfId="0" applyAlignment="1" applyBorder="1" applyFont="1" applyNumberFormat="1">
      <alignment horizontal="left" shrinkToFit="0" vertical="center" wrapText="1"/>
    </xf>
    <xf borderId="1" fillId="0" fontId="10" numFmtId="9" xfId="0" applyAlignment="1" applyBorder="1" applyFont="1" applyNumberFormat="1">
      <alignment horizontal="center" shrinkToFit="0" vertical="top" wrapText="1"/>
    </xf>
    <xf borderId="1" fillId="0" fontId="10" numFmtId="1" xfId="0" applyAlignment="1" applyBorder="1" applyFont="1" applyNumberFormat="1">
      <alignment horizontal="center" shrinkToFit="0" vertical="center" wrapText="1"/>
    </xf>
    <xf borderId="1" fillId="0" fontId="10" numFmtId="9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0" fontId="10" numFmtId="165" xfId="0" applyAlignment="1" applyBorder="1" applyFont="1" applyNumberForma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7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7F60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70AD47"/>
        <name val="Arial"/>
      </font>
      <fill>
        <patternFill patternType="solid">
          <fgColor rgb="FF70AD47"/>
          <bgColor rgb="FF70AD47"/>
        </patternFill>
      </fill>
      <border/>
    </dxf>
    <dxf>
      <font>
        <color rgb="FFED7D31"/>
        <name val="Arial"/>
      </font>
      <fill>
        <patternFill patternType="solid">
          <fgColor rgb="FFED7D31"/>
          <bgColor rgb="FFED7D31"/>
        </patternFill>
      </fill>
      <border/>
    </dxf>
    <dxf>
      <font>
        <color rgb="FF4472C4"/>
        <name val="Arial"/>
      </font>
      <fill>
        <patternFill patternType="solid">
          <fgColor rgb="FF4472C4"/>
          <bgColor rgb="FF4472C4"/>
        </patternFill>
      </fill>
      <border/>
    </dxf>
    <dxf>
      <font>
        <i/>
        <color rgb="FF7F7F7F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12.0"/>
    <col customWidth="1" min="4" max="4" width="14.0"/>
    <col customWidth="1" min="5" max="5" width="12.0"/>
    <col customWidth="1" min="6" max="7" width="52.0"/>
    <col customWidth="1" min="8" max="26" width="8.71"/>
  </cols>
  <sheetData>
    <row r="1">
      <c r="A1" s="1" t="s">
        <v>1</v>
      </c>
    </row>
    <row r="2">
      <c r="A2" s="2" t="str">
        <f>"Day 1 = "&amp;TEXT(Setup!B4,"dd mmm yyyy")&amp;"   |   Day 7 = "&amp;TEXT(Setup!B4+6,"dd mmm yyyy")</f>
        <v>Day 1 = 20 Oct 2026   |   Day 7 = 26 Oct 2026</v>
      </c>
    </row>
    <row r="4">
      <c r="A4" s="10" t="s">
        <v>10</v>
      </c>
    </row>
    <row r="5" ht="31.5" customHeight="1">
      <c r="A5" s="11" t="s">
        <v>13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</row>
    <row r="6">
      <c r="A6" s="14">
        <f>COUNTA(Tasks!$A$5:$A$100)</f>
        <v>36</v>
      </c>
      <c r="B6" s="14">
        <f>COUNTIF(Tasks!$O$5:$O$100,"Done")</f>
        <v>0</v>
      </c>
      <c r="C6" s="14">
        <f>COUNTIF(Tasks!$O$5:$O$100,"In progress")</f>
        <v>0</v>
      </c>
      <c r="D6" s="14">
        <f>COUNTIF(Tasks!$O$5:$O$100,"Blocked")</f>
        <v>0</v>
      </c>
      <c r="E6" s="14">
        <f>COUNTIF(Tasks!$O$5:$O$100,"Not started")</f>
        <v>36</v>
      </c>
      <c r="F6" s="14">
        <f>COUNTIFS(Tasks!$L$5:$L$100,"&lt;"&amp;TODAY(),Tasks!$O$5:$O$100,"&lt;&gt;Done")</f>
        <v>33</v>
      </c>
      <c r="G6" s="14">
        <f>SUM(Tasks!$N$5:$N$100)</f>
        <v>152</v>
      </c>
      <c r="H6" s="26">
        <f>IF(G6=0,0,SUMPRODUCT(Tasks!$N$5:$N$100,Tasks!$P$5:$P$100)/G6)</f>
        <v>0</v>
      </c>
    </row>
    <row r="8">
      <c r="A8" s="10" t="s">
        <v>75</v>
      </c>
    </row>
    <row r="9" ht="31.5" customHeight="1">
      <c r="A9" s="11" t="s">
        <v>22</v>
      </c>
      <c r="B9" s="11" t="s">
        <v>76</v>
      </c>
      <c r="C9" s="11" t="s">
        <v>14</v>
      </c>
      <c r="D9" s="11" t="s">
        <v>15</v>
      </c>
      <c r="E9" s="11" t="s">
        <v>16</v>
      </c>
      <c r="F9" s="11" t="s">
        <v>19</v>
      </c>
      <c r="G9" s="11" t="s">
        <v>20</v>
      </c>
    </row>
    <row r="10">
      <c r="A10" s="28" t="s">
        <v>50</v>
      </c>
      <c r="B10" s="30">
        <f>COUNTIF(Tasks!$B$5:$B$100,A10)</f>
        <v>21</v>
      </c>
      <c r="C10" s="30">
        <f>COUNTIFS(Tasks!$B$5:$B$100,A10,Tasks!$O$5:$O$100,"Done")</f>
        <v>0</v>
      </c>
      <c r="D10" s="30">
        <f>COUNTIFS(Tasks!$B$5:$B$100,A10,Tasks!$O$5:$O$100,"In progress")</f>
        <v>0</v>
      </c>
      <c r="E10" s="30">
        <f>COUNTIFS(Tasks!$B$5:$B$100,A10,Tasks!$O$5:$O$100,"Blocked")</f>
        <v>0</v>
      </c>
      <c r="F10" s="30">
        <f>SUMIFS(Tasks!$N$5:$N$100,Tasks!$B$5:$B$100,A10)</f>
        <v>95</v>
      </c>
      <c r="G10" s="31">
        <f>IF(F10=0,0,SUMPRODUCT((Tasks!$B$5:$B$100=A10)*Tasks!$N$5:$N$100*Tasks!$P$5:$P$100)/F10)</f>
        <v>0</v>
      </c>
    </row>
    <row r="11">
      <c r="A11" s="28" t="s">
        <v>81</v>
      </c>
      <c r="B11" s="30">
        <f>COUNTIF(Tasks!$B$5:$B$100,A11)</f>
        <v>15</v>
      </c>
      <c r="C11" s="30">
        <f>COUNTIFS(Tasks!$B$5:$B$100,A11,Tasks!$O$5:$O$100,"Done")</f>
        <v>0</v>
      </c>
      <c r="D11" s="30">
        <f>COUNTIFS(Tasks!$B$5:$B$100,A11,Tasks!$O$5:$O$100,"In progress")</f>
        <v>0</v>
      </c>
      <c r="E11" s="30">
        <f>COUNTIFS(Tasks!$B$5:$B$100,A11,Tasks!$O$5:$O$100,"Blocked")</f>
        <v>0</v>
      </c>
      <c r="F11" s="30">
        <f>SUMIFS(Tasks!$N$5:$N$100,Tasks!$B$5:$B$100,A11)</f>
        <v>57</v>
      </c>
      <c r="G11" s="31">
        <f>IF(F11=0,0,SUMPRODUCT((Tasks!$B$5:$B$100=A11)*Tasks!$N$5:$N$100*Tasks!$P$5:$P$100)/F11)</f>
        <v>0</v>
      </c>
    </row>
    <row r="13">
      <c r="A13" s="10" t="s">
        <v>90</v>
      </c>
    </row>
    <row r="14" ht="31.5" customHeight="1">
      <c r="A14" s="11" t="s">
        <v>91</v>
      </c>
      <c r="B14" s="11" t="s">
        <v>43</v>
      </c>
      <c r="C14" s="11" t="s">
        <v>76</v>
      </c>
      <c r="D14" s="11" t="s">
        <v>19</v>
      </c>
      <c r="E14" s="11" t="s">
        <v>92</v>
      </c>
      <c r="F14" s="11" t="s">
        <v>93</v>
      </c>
      <c r="G14" s="11" t="s">
        <v>20</v>
      </c>
    </row>
    <row r="15">
      <c r="A15" s="28" t="s">
        <v>49</v>
      </c>
      <c r="B15" s="28" t="str">
        <f t="array" ref="B15">INDEX(Setup!$B$10:$B$13,MATCH(A15,Setup!$A$10:$A$13,0))</f>
        <v>Marcel Luther Sitorus</v>
      </c>
      <c r="C15" s="30">
        <f>COUNTIF(Tasks!$F$5:$F$100,A15)</f>
        <v>11</v>
      </c>
      <c r="D15" s="30">
        <f>SUMIFS(Tasks!$N$5:$N$100,Tasks!$F$5:$F$100,A15)</f>
        <v>38</v>
      </c>
      <c r="E15" s="30">
        <f>Setup!$B$5*7</f>
        <v>42</v>
      </c>
      <c r="F15" s="31">
        <f t="shared" ref="F15:F18" si="1">IF(E15=0,0,D15/E15)</f>
        <v>0.9047619048</v>
      </c>
      <c r="G15" s="31">
        <f>IF(D15=0,0,SUMPRODUCT((Tasks!$F$5:$F$100=A15)*Tasks!$N$5:$N$100*Tasks!$P$5:$P$100)/D15)</f>
        <v>0</v>
      </c>
    </row>
    <row r="16">
      <c r="A16" s="28" t="s">
        <v>56</v>
      </c>
      <c r="B16" s="28" t="str">
        <f t="array" ref="B16">INDEX(Setup!$B$10:$B$13,MATCH(A16,Setup!$A$10:$A$13,0))</f>
        <v>Audric Yusuf Maynard Simatupang</v>
      </c>
      <c r="C16" s="30">
        <f>COUNTIF(Tasks!$F$5:$F$100,A16)</f>
        <v>8</v>
      </c>
      <c r="D16" s="30">
        <f>SUMIFS(Tasks!$N$5:$N$100,Tasks!$F$5:$F$100,A16)</f>
        <v>38</v>
      </c>
      <c r="E16" s="30">
        <f>Setup!$B$5*7</f>
        <v>42</v>
      </c>
      <c r="F16" s="31">
        <f t="shared" si="1"/>
        <v>0.9047619048</v>
      </c>
      <c r="G16" s="31">
        <f>IF(D16=0,0,SUMPRODUCT((Tasks!$F$5:$F$100=A16)*Tasks!$N$5:$N$100*Tasks!$P$5:$P$100)/D16)</f>
        <v>0</v>
      </c>
    </row>
    <row r="17">
      <c r="A17" s="28" t="s">
        <v>59</v>
      </c>
      <c r="B17" s="28" t="str">
        <f t="array" ref="B17">INDEX(Setup!$B$10:$B$13,MATCH(A17,Setup!$A$10:$A$13,0))</f>
        <v>Mahatma Brahmana</v>
      </c>
      <c r="C17" s="30">
        <f>COUNTIF(Tasks!$F$5:$F$100,A17)</f>
        <v>9</v>
      </c>
      <c r="D17" s="30">
        <f>SUMIFS(Tasks!$N$5:$N$100,Tasks!$F$5:$F$100,A17)</f>
        <v>37</v>
      </c>
      <c r="E17" s="30">
        <f>Setup!$B$5*7</f>
        <v>42</v>
      </c>
      <c r="F17" s="31">
        <f t="shared" si="1"/>
        <v>0.880952381</v>
      </c>
      <c r="G17" s="31">
        <f>IF(D17=0,0,SUMPRODUCT((Tasks!$F$5:$F$100=A17)*Tasks!$N$5:$N$100*Tasks!$P$5:$P$100)/D17)</f>
        <v>0</v>
      </c>
    </row>
    <row r="18">
      <c r="A18" s="28" t="s">
        <v>62</v>
      </c>
      <c r="B18" s="28" t="str">
        <f t="array" ref="B18">INDEX(Setup!$B$10:$B$13,MATCH(A18,Setup!$A$10:$A$13,0))</f>
        <v>Ishak Palentino Napitupulu</v>
      </c>
      <c r="C18" s="30">
        <f>COUNTIF(Tasks!$F$5:$F$100,A18)</f>
        <v>8</v>
      </c>
      <c r="D18" s="30">
        <f>SUMIFS(Tasks!$N$5:$N$100,Tasks!$F$5:$F$100,A18)</f>
        <v>39</v>
      </c>
      <c r="E18" s="30">
        <f>Setup!$B$5*7</f>
        <v>42</v>
      </c>
      <c r="F18" s="31">
        <f t="shared" si="1"/>
        <v>0.9285714286</v>
      </c>
      <c r="G18" s="31">
        <f>IF(D18=0,0,SUMPRODUCT((Tasks!$F$5:$F$100=A18)*Tasks!$N$5:$N$100*Tasks!$P$5:$P$100)/D18)</f>
        <v>0</v>
      </c>
    </row>
    <row r="19">
      <c r="A19" s="32" t="s">
        <v>120</v>
      </c>
    </row>
    <row r="21" ht="15.75" customHeight="1">
      <c r="A21" s="10" t="s">
        <v>121</v>
      </c>
    </row>
    <row r="22" ht="31.5" customHeight="1">
      <c r="A22" s="11" t="s">
        <v>122</v>
      </c>
      <c r="B22" s="11" t="s">
        <v>123</v>
      </c>
      <c r="C22" s="11" t="s">
        <v>124</v>
      </c>
      <c r="D22" s="11" t="s">
        <v>125</v>
      </c>
      <c r="E22" s="11" t="s">
        <v>127</v>
      </c>
      <c r="F22" s="11" t="s">
        <v>129</v>
      </c>
      <c r="G22" s="11" t="s">
        <v>131</v>
      </c>
    </row>
    <row r="23" ht="42.0" customHeight="1">
      <c r="A23" s="30" t="s">
        <v>39</v>
      </c>
      <c r="B23" s="33">
        <f>Setup!$B$4+0</f>
        <v>46315</v>
      </c>
      <c r="C23" s="30">
        <f>COUNTIF(Tasks!$J$5:$J$100,1)</f>
        <v>3</v>
      </c>
      <c r="D23" s="30">
        <f>COUNTIFS(Tasks!$J$5:$J$100,1,Tasks!$O$5:$O$100,"Done")</f>
        <v>0</v>
      </c>
      <c r="E23" s="30">
        <f>COUNTIFS(Tasks!$I$5:$I$100,"&lt;="&amp;1,Tasks!$J$5:$J$100,"&gt;="&amp;1)</f>
        <v>5</v>
      </c>
      <c r="F23" s="28" t="s">
        <v>138</v>
      </c>
      <c r="G23" s="28" t="s">
        <v>139</v>
      </c>
    </row>
    <row r="24" ht="42.0" customHeight="1">
      <c r="A24" s="30" t="s">
        <v>40</v>
      </c>
      <c r="B24" s="33">
        <f>Setup!$B$4+1</f>
        <v>46316</v>
      </c>
      <c r="C24" s="30">
        <f>COUNTIF(Tasks!$J$5:$J$100,2)</f>
        <v>5</v>
      </c>
      <c r="D24" s="30">
        <f>COUNTIFS(Tasks!$J$5:$J$100,2,Tasks!$O$5:$O$100,"Done")</f>
        <v>0</v>
      </c>
      <c r="E24" s="30">
        <f>COUNTIFS(Tasks!$I$5:$I$100,"&lt;="&amp;2,Tasks!$J$5:$J$100,"&gt;="&amp;2)</f>
        <v>10</v>
      </c>
      <c r="F24" s="28" t="s">
        <v>145</v>
      </c>
      <c r="G24" s="28" t="s">
        <v>146</v>
      </c>
    </row>
    <row r="25" ht="42.0" customHeight="1">
      <c r="A25" s="30" t="s">
        <v>41</v>
      </c>
      <c r="B25" s="33">
        <f>Setup!$B$4+2</f>
        <v>46317</v>
      </c>
      <c r="C25" s="30">
        <f>COUNTIF(Tasks!$J$5:$J$100,3)</f>
        <v>6</v>
      </c>
      <c r="D25" s="30">
        <f>COUNTIFS(Tasks!$J$5:$J$100,3,Tasks!$O$5:$O$100,"Done")</f>
        <v>0</v>
      </c>
      <c r="E25" s="30">
        <f>COUNTIFS(Tasks!$I$5:$I$100,"&lt;="&amp;3,Tasks!$J$5:$J$100,"&gt;="&amp;3)</f>
        <v>11</v>
      </c>
      <c r="F25" s="28" t="s">
        <v>148</v>
      </c>
      <c r="G25" s="28" t="s">
        <v>149</v>
      </c>
    </row>
    <row r="26" ht="42.0" customHeight="1">
      <c r="A26" s="30" t="s">
        <v>42</v>
      </c>
      <c r="B26" s="33">
        <f>Setup!$B$4+3</f>
        <v>46318</v>
      </c>
      <c r="C26" s="30">
        <f>COUNTIF(Tasks!$J$5:$J$100,4)</f>
        <v>4</v>
      </c>
      <c r="D26" s="30">
        <f>COUNTIFS(Tasks!$J$5:$J$100,4,Tasks!$O$5:$O$100,"Done")</f>
        <v>0</v>
      </c>
      <c r="E26" s="30">
        <f>COUNTIFS(Tasks!$I$5:$I$100,"&lt;="&amp;4,Tasks!$J$5:$J$100,"&gt;="&amp;4)</f>
        <v>8</v>
      </c>
      <c r="F26" s="28" t="s">
        <v>154</v>
      </c>
      <c r="G26" s="28" t="s">
        <v>155</v>
      </c>
    </row>
    <row r="27" ht="42.0" customHeight="1">
      <c r="A27" s="30" t="s">
        <v>44</v>
      </c>
      <c r="B27" s="33">
        <f>Setup!$B$4+4</f>
        <v>46319</v>
      </c>
      <c r="C27" s="30">
        <f>COUNTIF(Tasks!$J$5:$J$100,5)</f>
        <v>8</v>
      </c>
      <c r="D27" s="30">
        <f>COUNTIFS(Tasks!$J$5:$J$100,5,Tasks!$O$5:$O$100,"Done")</f>
        <v>0</v>
      </c>
      <c r="E27" s="30">
        <f>COUNTIFS(Tasks!$I$5:$I$100,"&lt;="&amp;5,Tasks!$J$5:$J$100,"&gt;="&amp;5)</f>
        <v>11</v>
      </c>
      <c r="F27" s="28" t="s">
        <v>160</v>
      </c>
      <c r="G27" s="28" t="s">
        <v>161</v>
      </c>
    </row>
    <row r="28" ht="42.0" customHeight="1">
      <c r="A28" s="30" t="s">
        <v>45</v>
      </c>
      <c r="B28" s="33">
        <f>Setup!$B$4+5</f>
        <v>46320</v>
      </c>
      <c r="C28" s="30">
        <f>COUNTIF(Tasks!$J$5:$J$100,6)</f>
        <v>7</v>
      </c>
      <c r="D28" s="30">
        <f>COUNTIFS(Tasks!$J$5:$J$100,6,Tasks!$O$5:$O$100,"Done")</f>
        <v>0</v>
      </c>
      <c r="E28" s="30">
        <f>COUNTIFS(Tasks!$I$5:$I$100,"&lt;="&amp;6,Tasks!$J$5:$J$100,"&gt;="&amp;6)</f>
        <v>7</v>
      </c>
      <c r="F28" s="28" t="s">
        <v>167</v>
      </c>
      <c r="G28" s="28" t="s">
        <v>168</v>
      </c>
    </row>
    <row r="29" ht="42.0" customHeight="1">
      <c r="A29" s="30" t="s">
        <v>47</v>
      </c>
      <c r="B29" s="33">
        <f>Setup!$B$4+6</f>
        <v>46321</v>
      </c>
      <c r="C29" s="30">
        <f>COUNTIF(Tasks!$J$5:$J$100,7)</f>
        <v>3</v>
      </c>
      <c r="D29" s="30">
        <f>COUNTIFS(Tasks!$J$5:$J$100,7,Tasks!$O$5:$O$100,"Done")</f>
        <v>0</v>
      </c>
      <c r="E29" s="30">
        <f>COUNTIFS(Tasks!$I$5:$I$100,"&lt;="&amp;7,Tasks!$J$5:$J$100,"&gt;="&amp;7)</f>
        <v>3</v>
      </c>
      <c r="F29" s="28" t="s">
        <v>173</v>
      </c>
      <c r="G29" s="28" t="s">
        <v>175</v>
      </c>
    </row>
    <row r="30" ht="15.75" customHeight="1"/>
    <row r="31" ht="15.75" customHeight="1">
      <c r="A31" s="32" t="s">
        <v>176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5:F18">
    <cfRule type="cellIs" dxfId="0" priority="1" operator="greaterThan">
      <formula>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pageSetUpPr/>
  </s:sheetPr>
  <s:sheetViews>
    <s:sheetView workbookViewId="0">
      <s:pane xSplit="3.0" ySplit="4.0" topLeftCell="D5" activePane="bottomRight" state="frozen"/>
      <s:selection activeCell="D1" sqref="D1" pane="topRight"/>
      <s:selection activeCell="A5" sqref="A5" pane="bottomLeft"/>
      <s:selection activeCell="D5" sqref="D5" pane="bottomRight"/>
    </s:sheetView>
  </s:sheetViews>
  <s:sheetFormatPr customHeight="1" defaultColWidth="14.43" defaultRowHeight="15.0"/>
  <s:cols>
    <s:col customWidth="1" min="1" max="1" width="6.0"/>
    <s:col customWidth="1" min="2" max="2" width="11.0"/>
    <s:col customWidth="1" min="3" max="3" width="28.0"/>
    <s:col customWidth="1" min="4" max="4" width="64.0"/>
    <s:col customWidth="1" min="5" max="5" width="42.0"/>
    <s:col customWidth="1" min="6" max="6" width="8.0"/>
    <s:col customWidth="1" min="7" max="7" width="24.0"/>
    <s:col customWidth="1" min="8" max="8" width="9.0"/>
    <s:col customWidth="1" min="9" max="10" width="7.0"/>
    <s:col customWidth="1" min="11" max="13" width="10.0"/>
    <s:col customWidth="1" min="14" max="14" width="8.0"/>
    <s:col customWidth="1" min="15" max="15" width="13.0"/>
    <s:col customWidth="1" min="16" max="16" width="8.0"/>
    <s:col customWidth="1" min="17" max="17" width="14.0"/>
    <s:col customWidth="1" min="18" max="18" width="26.0"/>
    <s:col customWidth="1" min="19" max="25" width="6.0"/>
    <s:col customWidth="1" min="26" max="26" width="8.71"/>
  </s:cols>
  <s:sheetData>
    <s:row r="1">
      <s:c r="A1" s="1" t="s">
        <s:v>0</s:v>
      </s:c>
    </s:row>
    <s:row r="2">
      <s:c r="A2" s="2" t="s">
        <s:v>3</s:v>
      </s:c>
    </s:row>
    <s:row r="3">
      <s:c r="P3" s="4" t="s">
        <s:v>5</s:v>
      </s:c>
      <s:c r="R3" s="5" t="s">
        <s:v>6</s:v>
      </s:c>
      <s:c r="S3" s="8">
        <s:f>Setup!$B$4+0</s:f>
        <s:v>46315</s:v>
      </s:c>
      <s:c r="T3" s="8">
        <s:f>Setup!$B$4+1</s:f>
        <s:v>46316</s:v>
      </s:c>
      <s:c r="U3" s="8">
        <s:f>Setup!$B$4+2</s:f>
        <s:v>46317</s:v>
      </s:c>
      <s:c r="V3" s="8">
        <s:f>Setup!$B$4+3</s:f>
        <s:v>46318</s:v>
      </s:c>
      <s:c r="W3" s="8">
        <s:f>Setup!$B$4+4</s:f>
        <s:v>46319</s:v>
      </s:c>
      <s:c r="X3" s="8">
        <s:f>Setup!$B$4+5</s:f>
        <s:v>46320</s:v>
      </s:c>
      <s:c r="Y3" s="8">
        <s:f>Setup!$B$4+6</s:f>
        <s:v>46321</s:v>
      </s:c>
    </s:row>
    <s:row r="4" ht="31.5" customHeight="1">
      <s:c r="A4" s="11" t="s">
        <s:v>21</s:v>
      </s:c>
      <s:c r="B4" s="11" t="s">
        <s:v>22</s:v>
      </s:c>
      <s:c r="C4" s="11" t="s">
        <s:v>23</s:v>
      </s:c>
      <s:c r="D4" s="11" t="s">
        <s:v>24</s:v>
      </s:c>
      <s:c r="E4" s="11" t="s">
        <s:v>25</s:v>
      </s:c>
      <s:c r="F4" s="11" t="s">
        <s:v>26</s:v>
      </s:c>
      <s:c r="G4" s="11" t="s">
        <s:v>27</s:v>
      </s:c>
      <s:c r="H4" s="11" t="s">
        <s:v>28</s:v>
      </s:c>
      <s:c r="I4" s="11" t="s">
        <s:v>29</s:v>
      </s:c>
      <s:c r="J4" s="11" t="s">
        <s:v>30</s:v>
      </s:c>
      <s:c r="K4" s="11" t="s">
        <s:v>31</s:v>
      </s:c>
      <s:c r="L4" s="11" t="s">
        <s:v>32</s:v>
      </s:c>
      <s:c r="M4" s="11" t="s">
        <s:v>34</s:v>
      </s:c>
      <s:c r="N4" s="11" t="s">
        <s:v>19</s:v>
      </s:c>
      <s:c r="O4" s="11" t="s">
        <s:v>35</s:v>
      </s:c>
      <s:c r="P4" s="11" t="s">
        <s:v>36</s:v>
      </s:c>
      <s:c r="Q4" s="11" t="s">
        <s:v>37</s:v>
      </s:c>
      <s:c r="R4" s="11" t="s">
        <s:v>38</s:v>
      </s:c>
      <s:c r="S4" s="13" t="s">
        <s:v>39</s:v>
      </s:c>
      <s:c r="T4" s="13" t="s">
        <s:v>40</s:v>
      </s:c>
      <s:c r="U4" s="13" t="s">
        <s:v>41</s:v>
      </s:c>
      <s:c r="V4" s="13" t="s">
        <s:v>42</s:v>
      </s:c>
      <s:c r="W4" s="13" t="s">
        <s:v>44</s:v>
      </s:c>
      <s:c r="X4" s="13" t="s">
        <s:v>45</s:v>
      </s:c>
      <s:c r="Y4" s="13" t="s">
        <s:v>47</s:v>
      </s:c>
    </s:row>
    <s:row r="5" ht="57.75" customHeight="1">
      <s:c r="A5" s="15" t="s">
        <s:v>48</s:v>
      </s:c>
      <s:c r="B5" s="15" t="s">
        <s:v>50</s:v>
      </s:c>
      <s:c r="C5" s="17" t="s">
        <s:v>51</s:v>
      </s:c>
      <s:c r="D5" s="19" t="s">
        <s:v>53</s:v>
      </s:c>
      <s:c r="E5" s="19" t="s">
        <s:v>55</s:v>
      </s:c>
      <s:c r="F5" s="15" t="s">
        <s:v>56</s:v>
      </s:c>
      <s:c r="G5" s="19" t="str">
        <s:f t="array" ref="G5">IFERROR(INDEX(Setup!$B$10:$B$13,MATCH(F5,Setup!$A$10:$A$13,0)),"")</s:f>
        <s:v>Audric Yusuf Maynard Simatupang</s:v>
      </s:c>
      <s:c r="H5" s="15" t="s">
        <s:v>49</s:v>
      </s:c>
      <s:c r="I5" s="15">
        <s:v>1.0</s:v>
      </s:c>
      <s:c r="J5" s="15">
        <s:v>1.0</s:v>
      </s:c>
      <s:c r="K5" s="25">
        <s:f>Setup!$B$4+I5-1</s:f>
        <s:v>46315</s:v>
      </s:c>
      <s:c r="L5" s="25">
        <s:f>Setup!$B$4+J5-1</s:f>
        <s:v>46315</s:v>
      </s:c>
      <s:c r="M5" s="15" t="s">
        <s:v>69</s:v>
      </s:c>
      <s:c r="N5" s="15">
        <s:v>3.0</s:v>
      </s:c>
      <s:c r="O5" s="27" t="inlineStr">
        <s:is>
          <s:t>Done</s:t>
        </s:is>
      </s:c>
      <s:c r="P5" s="29">
        <s:f t="array" ref="P5">IFERROR(INDEX(Setup!$B$17:$B$20,MATCH(O5,Setup!$A$17:$A$20,0)),0)</s:f>
        <s:v>0</s:v>
      </s:c>
      <s:c r="Q5" s="15"/>
      <s:c r="R5" s="19" t="inlineStr">
        <s:is>
          <s:t>2026-10-27 (Asia/Jakarta): Implemented Windows 11 / Python 3.12 / Node 22 environment, setup/run/test/build scripts and README. Local Linux environment validated; teammates should run setup on Windows. See docs/audric-worklog.md.</s:t>
        </s:is>
      </s:c>
      <s:c r="S5" s="15" t="str">
        <s:f t="shared" ref="S5:S40" si="1">IF(AND(1&gt;=$I5,1&lt;=$J5),"■","")</s:f>
        <s:v>■</s:v>
      </s:c>
      <s:c r="T5" s="15" t="str">
        <s:f t="shared" ref="T5:T40" si="2">IF(AND(2&gt;=$I5,2&lt;=$J5),"■","")</s:f>
        <s:v/>
      </s:c>
      <s:c r="U5" s="15" t="str">
        <s:f t="shared" ref="U5:U40" si="3">IF(AND(3&gt;=$I5,3&lt;=$J5),"■","")</s:f>
        <s:v/>
      </s:c>
      <s:c r="V5" s="15" t="str">
        <s:f t="shared" ref="V5:V40" si="4">IF(AND(4&gt;=$I5,4&lt;=$J5),"■","")</s:f>
        <s:v/>
      </s:c>
      <s:c r="W5" s="15" t="str">
        <s:f t="shared" ref="W5:W40" si="5">IF(AND(5&gt;=$I5,5&lt;=$J5),"■","")</s:f>
        <s:v/>
      </s:c>
      <s:c r="X5" s="15" t="str">
        <s:f t="shared" ref="X5:X40" si="6">IF(AND(6&gt;=$I5,6&lt;=$J5),"■","")</s:f>
        <s:v/>
      </s:c>
      <s:c r="Y5" s="15" t="str">
        <s:f t="shared" ref="Y5:Y40" si="7">IF(AND(7&gt;=$I5,7&lt;=$J5),"■","")</s:f>
        <s:v/>
      </s:c>
    </s:row>
    <s:row r="6" ht="44.25" customHeight="1">
      <s:c r="A6" s="15" t="s">
        <s:v>77</s:v>
      </s:c>
      <s:c r="B6" s="15" t="s">
        <s:v>50</s:v>
      </s:c>
      <s:c r="C6" s="17" t="s">
        <s:v>78</s:v>
      </s:c>
      <s:c r="D6" s="19" t="s">
        <s:v>79</s:v>
      </s:c>
      <s:c r="E6" s="19" t="s">
        <s:v>80</s:v>
      </s:c>
      <s:c r="F6" s="15" t="s">
        <s:v>56</s:v>
      </s:c>
      <s:c r="G6" s="19" t="str">
        <s:f t="array" ref="G6">IFERROR(INDEX(Setup!$B$10:$B$13,MATCH(F6,Setup!$A$10:$A$13,0)),"")</s:f>
        <s:v>Audric Yusuf Maynard Simatupang</s:v>
      </s:c>
      <s:c r="H6" s="15" t="s">
        <s:v>59</s:v>
      </s:c>
      <s:c r="I6" s="15">
        <s:v>1.0</s:v>
      </s:c>
      <s:c r="J6" s="15">
        <s:v>2.0</s:v>
      </s:c>
      <s:c r="K6" s="25">
        <s:f>Setup!$B$4+I6-1</s:f>
        <s:v>46315</s:v>
      </s:c>
      <s:c r="L6" s="25">
        <s:f>Setup!$B$4+J6-1</s:f>
        <s:v>46316</s:v>
      </s:c>
      <s:c r="M6" s="15" t="s">
        <s:v>69</s:v>
      </s:c>
      <s:c r="N6" s="15">
        <s:v>6.0</s:v>
      </s:c>
      <s:c r="O6" s="27" t="inlineStr">
        <s:is>
          <s:t>In progress</s:t>
        </s:is>
      </s:c>
      <s:c r="P6" s="29">
        <s:f t="array" ref="P6">IFERROR(INDEX(Setup!$B$17:$B$20,MATCH(O6,Setup!$A$17:$A$20,0)),0)</s:f>
        <s:v>0</s:v>
      </s:c>
      <s:c r="Q6" s="15" t="s">
        <s:v>48</s:v>
      </s:c>
      <s:c r="R6" s="19" t="inlineStr">
        <s:is>
          <s:t>2026-10-27 (Asia/Jakarta): Implemented embedded proxy, per-install CA lifecycle, consent, exact proxy snapshot/restore and crash watchdog. Real local HTTP/HTTPS tests pass. Native Windows CA/browser and forced-termination recovery evidence pending.</s:t>
        </s:is>
      </s:c>
      <s:c r="S6" s="15" t="str">
        <s:f t="shared" si="1"/>
        <s:v>■</s:v>
      </s:c>
      <s:c r="T6" s="15" t="str">
        <s:f t="shared" si="2"/>
        <s:v>■</s:v>
      </s:c>
      <s:c r="U6" s="15" t="str">
        <s:f t="shared" si="3"/>
        <s:v/>
      </s:c>
      <s:c r="V6" s="15" t="str">
        <s:f t="shared" si="4"/>
        <s:v/>
      </s:c>
      <s:c r="W6" s="15" t="str">
        <s:f t="shared" si="5"/>
        <s:v/>
      </s:c>
      <s:c r="X6" s="15" t="str">
        <s:f t="shared" si="6"/>
        <s:v/>
      </s:c>
      <s:c r="Y6" s="15" t="str">
        <s:f t="shared" si="7"/>
        <s:v/>
      </s:c>
    </s:row>
    <s:row r="7" ht="44.25" customHeight="1">
      <s:c r="A7" s="15" t="s">
        <s:v>82</s:v>
      </s:c>
      <s:c r="B7" s="15" t="s">
        <s:v>50</s:v>
      </s:c>
      <s:c r="C7" s="17" t="s">
        <s:v>83</s:v>
      </s:c>
      <s:c r="D7" s="19" t="s">
        <s:v>84</s:v>
      </s:c>
      <s:c r="E7" s="19" t="s">
        <s:v>85</s:v>
      </s:c>
      <s:c r="F7" s="15" t="s">
        <s:v>56</s:v>
      </s:c>
      <s:c r="G7" s="19" t="str">
        <s:f t="array" ref="G7">IFERROR(INDEX(Setup!$B$10:$B$13,MATCH(F7,Setup!$A$10:$A$13,0)),"")</s:f>
        <s:v>Audric Yusuf Maynard Simatupang</s:v>
      </s:c>
      <s:c r="H7" s="15" t="s">
        <s:v>62</s:v>
      </s:c>
      <s:c r="I7" s="15">
        <s:v>2.0</s:v>
      </s:c>
      <s:c r="J7" s="15">
        <s:v>2.0</s:v>
      </s:c>
      <s:c r="K7" s="25">
        <s:f>Setup!$B$4+I7-1</s:f>
        <s:v>46316</s:v>
      </s:c>
      <s:c r="L7" s="25">
        <s:f>Setup!$B$4+J7-1</s:f>
        <s:v>46316</s:v>
      </s:c>
      <s:c r="M7" s="15" t="s">
        <s:v>69</s:v>
      </s:c>
      <s:c r="N7" s="15">
        <s:v>3.0</s:v>
      </s:c>
      <s:c r="O7" s="27" t="inlineStr">
        <s:is>
          <s:t>Done</s:t>
        </s:is>
      </s:c>
      <s:c r="P7" s="29">
        <s:f t="array" ref="P7">IFERROR(INDEX(Setup!$B$17:$B$20,MATCH(O7,Setup!$A$17:$A$20,0)),0)</s:f>
        <s:v>0</s:v>
      </s:c>
      <s:c r="Q7" s="15" t="s">
        <s:v>77</s:v>
      </s:c>
      <s:c r="R7" s="19" t="inlineStr">
        <s:is>
          <s:t>2026-10-27 (Asia/Jakarta): Implemented masked flow capture, event envelope, bounded event bus and matching TypeScript contracts. Lifecycle events verified; contract frozen in docs/api.md.</s:t>
        </s:is>
      </s:c>
      <s:c r="S7" s="15" t="str">
        <s:f t="shared" si="1"/>
        <s:v/>
      </s:c>
      <s:c r="T7" s="15" t="str">
        <s:f t="shared" si="2"/>
        <s:v>■</s:v>
      </s:c>
      <s:c r="U7" s="15" t="str">
        <s:f t="shared" si="3"/>
        <s:v/>
      </s:c>
      <s:c r="V7" s="15" t="str">
        <s:f t="shared" si="4"/>
        <s:v/>
      </s:c>
      <s:c r="W7" s="15" t="str">
        <s:f t="shared" si="5"/>
        <s:v/>
      </s:c>
      <s:c r="X7" s="15" t="str">
        <s:f t="shared" si="6"/>
        <s:v/>
      </s:c>
      <s:c r="Y7" s="15" t="str">
        <s:f t="shared" si="7"/>
        <s:v/>
      </s:c>
    </s:row>
    <s:row r="8" ht="30.75" customHeight="1">
      <s:c r="A8" s="15" t="s">
        <s:v>86</s:v>
      </s:c>
      <s:c r="B8" s="15" t="s">
        <s:v>50</s:v>
      </s:c>
      <s:c r="C8" s="17" t="s">
        <s:v>87</s:v>
      </s:c>
      <s:c r="D8" s="19" t="s">
        <s:v>88</s:v>
      </s:c>
      <s:c r="E8" s="19" t="s">
        <s:v>89</s:v>
      </s:c>
      <s:c r="F8" s="15" t="s">
        <s:v>59</s:v>
      </s:c>
      <s:c r="G8" s="19" t="str">
        <s:f t="array" ref="G8">IFERROR(INDEX(Setup!$B$10:$B$13,MATCH(F8,Setup!$A$10:$A$13,0)),"")</s:f>
        <s:v>Mahatma Brahmana</s:v>
      </s:c>
      <s:c r="H8" s="15" t="s">
        <s:v>56</s:v>
      </s:c>
      <s:c r="I8" s="15">
        <s:v>2.0</s:v>
      </s:c>
      <s:c r="J8" s="15">
        <s:v>2.0</s:v>
      </s:c>
      <s:c r="K8" s="25">
        <s:f>Setup!$B$4+I8-1</s:f>
        <s:v>46316</s:v>
      </s:c>
      <s:c r="L8" s="25">
        <s:f>Setup!$B$4+J8-1</s:f>
        <s:v>46316</s:v>
      </s:c>
      <s:c r="M8" s="15" t="s">
        <s:v>69</s:v>
      </s:c>
      <s:c r="N8" s="15">
        <s:v>4.0</s:v>
      </s:c>
      <s:c r="O8" s="27" t="s">
        <s:v>17</s:v>
      </s:c>
      <s:c r="P8" s="29">
        <s:f t="array" ref="P8">IFERROR(INDEX(Setup!$B$17:$B$20,MATCH(O8,Setup!$A$17:$A$20,0)),0)</s:f>
        <s:v>0</s:v>
      </s:c>
      <s:c r="Q8" s="15" t="s">
        <s:v>77</s:v>
      </s:c>
      <s:c r="R8" s="19"/>
      <s:c r="S8" s="15" t="str">
        <s:f t="shared" si="1"/>
        <s:v/>
      </s:c>
      <s:c r="T8" s="15" t="str">
        <s:f t="shared" si="2"/>
        <s:v>■</s:v>
      </s:c>
      <s:c r="U8" s="15" t="str">
        <s:f t="shared" si="3"/>
        <s:v/>
      </s:c>
      <s:c r="V8" s="15" t="str">
        <s:f t="shared" si="4"/>
        <s:v/>
      </s:c>
      <s:c r="W8" s="15" t="str">
        <s:f t="shared" si="5"/>
        <s:v/>
      </s:c>
      <s:c r="X8" s="15" t="str">
        <s:f t="shared" si="6"/>
        <s:v/>
      </s:c>
      <s:c r="Y8" s="15" t="str">
        <s:f t="shared" si="7"/>
        <s:v/>
      </s:c>
    </s:row>
    <s:row r="9" ht="44.25" customHeight="1">
      <s:c r="A9" s="15" t="s">
        <s:v>94</s:v>
      </s:c>
      <s:c r="B9" s="15" t="s">
        <s:v>50</s:v>
      </s:c>
      <s:c r="C9" s="17" t="s">
        <s:v>95</s:v>
      </s:c>
      <s:c r="D9" s="19" t="s">
        <s:v>96</s:v>
      </s:c>
      <s:c r="E9" s="19" t="s">
        <s:v>97</s:v>
      </s:c>
      <s:c r="F9" s="15" t="s">
        <s:v>59</s:v>
      </s:c>
      <s:c r="G9" s="19" t="str">
        <s:f t="array" ref="G9">IFERROR(INDEX(Setup!$B$10:$B$13,MATCH(F9,Setup!$A$10:$A$13,0)),"")</s:f>
        <s:v>Mahatma Brahmana</s:v>
      </s:c>
      <s:c r="H9" s="15" t="s">
        <s:v>56</s:v>
      </s:c>
      <s:c r="I9" s="15">
        <s:v>2.0</s:v>
      </s:c>
      <s:c r="J9" s="15">
        <s:v>2.0</s:v>
      </s:c>
      <s:c r="K9" s="25">
        <s:f>Setup!$B$4+I9-1</s:f>
        <s:v>46316</s:v>
      </s:c>
      <s:c r="L9" s="25">
        <s:f>Setup!$B$4+J9-1</s:f>
        <s:v>46316</s:v>
      </s:c>
      <s:c r="M9" s="15" t="s">
        <s:v>69</s:v>
      </s:c>
      <s:c r="N9" s="15">
        <s:v>4.0</s:v>
      </s:c>
      <s:c r="O9" s="27" t="s">
        <s:v>17</s:v>
      </s:c>
      <s:c r="P9" s="29">
        <s:f t="array" ref="P9">IFERROR(INDEX(Setup!$B$17:$B$20,MATCH(O9,Setup!$A$17:$A$20,0)),0)</s:f>
        <s:v>0</s:v>
      </s:c>
      <s:c r="Q9" s="15" t="s">
        <s:v>48</s:v>
      </s:c>
      <s:c r="R9" s="19"/>
      <s:c r="S9" s="15" t="str">
        <s:f t="shared" si="1"/>
        <s:v/>
      </s:c>
      <s:c r="T9" s="15" t="str">
        <s:f t="shared" si="2"/>
        <s:v>■</s:v>
      </s:c>
      <s:c r="U9" s="15" t="str">
        <s:f t="shared" si="3"/>
        <s:v/>
      </s:c>
      <s:c r="V9" s="15" t="str">
        <s:f t="shared" si="4"/>
        <s:v/>
      </s:c>
      <s:c r="W9" s="15" t="str">
        <s:f t="shared" si="5"/>
        <s:v/>
      </s:c>
      <s:c r="X9" s="15" t="str">
        <s:f t="shared" si="6"/>
        <s:v/>
      </s:c>
      <s:c r="Y9" s="15" t="str">
        <s:f t="shared" si="7"/>
        <s:v/>
      </s:c>
    </s:row>
    <s:row r="10" ht="57.75" customHeight="1">
      <s:c r="A10" s="15" t="s">
        <s:v>98</s:v>
      </s:c>
      <s:c r="B10" s="15" t="s">
        <s:v>50</s:v>
      </s:c>
      <s:c r="C10" s="17" t="s">
        <s:v>99</s:v>
      </s:c>
      <s:c r="D10" s="19" t="s">
        <s:v>100</s:v>
      </s:c>
      <s:c r="E10" s="19" t="s">
        <s:v>101</s:v>
      </s:c>
      <s:c r="F10" s="15" t="s">
        <s:v>56</s:v>
      </s:c>
      <s:c r="G10" s="19" t="str">
        <s:f t="array" ref="G10">IFERROR(INDEX(Setup!$B$10:$B$13,MATCH(F10,Setup!$A$10:$A$13,0)),"")</s:f>
        <s:v>Audric Yusuf Maynard Simatupang</s:v>
      </s:c>
      <s:c r="H10" s="15" t="s">
        <s:v>62</s:v>
      </s:c>
      <s:c r="I10" s="15">
        <s:v>2.0</s:v>
      </s:c>
      <s:c r="J10" s="15">
        <s:v>3.0</s:v>
      </s:c>
      <s:c r="K10" s="25">
        <s:f>Setup!$B$4+I10-1</s:f>
        <s:v>46316</s:v>
      </s:c>
      <s:c r="L10" s="25">
        <s:f>Setup!$B$4+J10-1</s:f>
        <s:v>46317</s:v>
      </s:c>
      <s:c r="M10" s="15" t="s">
        <s:v>69</s:v>
      </s:c>
      <s:c r="N10" s="15">
        <s:v>7.0</s:v>
      </s:c>
      <s:c r="O10" s="27" t="inlineStr">
        <s:is>
          <s:t>Done</s:t>
        </s:is>
      </s:c>
      <s:c r="P10" s="29">
        <s:f t="array" ref="P10">IFERROR(INDEX(Setup!$B$17:$B$20,MATCH(O10,Setup!$A$17:$A$20,0)),0)</s:f>
        <s:v>0</s:v>
      </s:c>
      <s:c r="Q10" s="15" t="s">
        <s:v>102</s:v>
      </s:c>
      <s:c r="R10" s="19" t="inlineStr">
        <s:is>
          <s:t>2026-10-27 (Asia/Jakarta): Implemented loopback REST, authenticated WebSocket/Halt commands, CRUD/history/settings, Host/Origin/token checks, TS clients and Vite proxy. API/WS integration tests pass.</s:t>
        </s:is>
      </s:c>
      <s:c r="S10" s="15" t="str">
        <s:f t="shared" si="1"/>
        <s:v/>
      </s:c>
      <s:c r="T10" s="15" t="str">
        <s:f t="shared" si="2"/>
        <s:v>■</s:v>
      </s:c>
      <s:c r="U10" s="15" t="str">
        <s:f t="shared" si="3"/>
        <s:v>■</s:v>
      </s:c>
      <s:c r="V10" s="15" t="str">
        <s:f t="shared" si="4"/>
        <s:v/>
      </s:c>
      <s:c r="W10" s="15" t="str">
        <s:f t="shared" si="5"/>
        <s:v/>
      </s:c>
      <s:c r="X10" s="15" t="str">
        <s:f t="shared" si="6"/>
        <s:v/>
      </s:c>
      <s:c r="Y10" s="15" t="str">
        <s:f t="shared" si="7"/>
        <s:v/>
      </s:c>
    </s:row>
    <s:row r="11" ht="44.25" customHeight="1">
      <s:c r="A11" s="15" t="s">
        <s:v>103</s:v>
      </s:c>
      <s:c r="B11" s="15" t="s">
        <s:v>50</s:v>
      </s:c>
      <s:c r="C11" s="17" t="s">
        <s:v>104</s:v>
      </s:c>
      <s:c r="D11" s="19" t="s">
        <s:v>105</s:v>
      </s:c>
      <s:c r="E11" s="19" t="s">
        <s:v>106</s:v>
      </s:c>
      <s:c r="F11" s="15" t="s">
        <s:v>59</s:v>
      </s:c>
      <s:c r="G11" s="19" t="str">
        <s:f t="array" ref="G11">IFERROR(INDEX(Setup!$B$10:$B$13,MATCH(F11,Setup!$A$10:$A$13,0)),"")</s:f>
        <s:v>Mahatma Brahmana</s:v>
      </s:c>
      <s:c r="H11" s="15"/>
      <s:c r="I11" s="15">
        <s:v>3.0</s:v>
      </s:c>
      <s:c r="J11" s="15">
        <s:v>3.0</s:v>
      </s:c>
      <s:c r="K11" s="25">
        <s:f>Setup!$B$4+I11-1</s:f>
        <s:v>46317</s:v>
      </s:c>
      <s:c r="L11" s="25">
        <s:f>Setup!$B$4+J11-1</s:f>
        <s:v>46317</s:v>
      </s:c>
      <s:c r="M11" s="15" t="s">
        <s:v>69</s:v>
      </s:c>
      <s:c r="N11" s="15">
        <s:v>3.0</s:v>
      </s:c>
      <s:c r="O11" s="27" t="s">
        <s:v>17</s:v>
      </s:c>
      <s:c r="P11" s="29">
        <s:f t="array" ref="P11">IFERROR(INDEX(Setup!$B$17:$B$20,MATCH(O11,Setup!$A$17:$A$20,0)),0)</s:f>
        <s:v>0</s:v>
      </s:c>
      <s:c r="Q11" s="15" t="s">
        <s:v>94</s:v>
      </s:c>
      <s:c r="R11" s="19"/>
      <s:c r="S11" s="15" t="str">
        <s:f t="shared" si="1"/>
        <s:v/>
      </s:c>
      <s:c r="T11" s="15" t="str">
        <s:f t="shared" si="2"/>
        <s:v/>
      </s:c>
      <s:c r="U11" s="15" t="str">
        <s:f t="shared" si="3"/>
        <s:v>■</s:v>
      </s:c>
      <s:c r="V11" s="15" t="str">
        <s:f t="shared" si="4"/>
        <s:v/>
      </s:c>
      <s:c r="W11" s="15" t="str">
        <s:f t="shared" si="5"/>
        <s:v/>
      </s:c>
      <s:c r="X11" s="15" t="str">
        <s:f t="shared" si="6"/>
        <s:v/>
      </s:c>
      <s:c r="Y11" s="15" t="str">
        <s:f t="shared" si="7"/>
        <s:v/>
      </s:c>
    </s:row>
    <s:row r="12" ht="44.25" customHeight="1">
      <s:c r="A12" s="15" t="s">
        <s:v>107</s:v>
      </s:c>
      <s:c r="B12" s="15" t="s">
        <s:v>50</s:v>
      </s:c>
      <s:c r="C12" s="17" t="s">
        <s:v>108</s:v>
      </s:c>
      <s:c r="D12" s="19" t="s">
        <s:v>109</s:v>
      </s:c>
      <s:c r="E12" s="19" t="s">
        <s:v>110</s:v>
      </s:c>
      <s:c r="F12" s="15" t="s">
        <s:v>59</s:v>
      </s:c>
      <s:c r="G12" s="19" t="str">
        <s:f t="array" ref="G12">IFERROR(INDEX(Setup!$B$10:$B$13,MATCH(F12,Setup!$A$10:$A$13,0)),"")</s:f>
        <s:v>Mahatma Brahmana</s:v>
      </s:c>
      <s:c r="H12" s="15" t="s">
        <s:v>56</s:v>
      </s:c>
      <s:c r="I12" s="15">
        <s:v>3.0</s:v>
      </s:c>
      <s:c r="J12" s="15">
        <s:v>3.0</s:v>
      </s:c>
      <s:c r="K12" s="25">
        <s:f>Setup!$B$4+I12-1</s:f>
        <s:v>46317</s:v>
      </s:c>
      <s:c r="L12" s="25">
        <s:f>Setup!$B$4+J12-1</s:f>
        <s:v>46317</s:v>
      </s:c>
      <s:c r="M12" s="15" t="s">
        <s:v>69</s:v>
      </s:c>
      <s:c r="N12" s="15">
        <s:v>6.0</s:v>
      </s:c>
      <s:c r="O12" s="27" t="s">
        <s:v>17</s:v>
      </s:c>
      <s:c r="P12" s="29">
        <s:f t="array" ref="P12">IFERROR(INDEX(Setup!$B$17:$B$20,MATCH(O12,Setup!$A$17:$A$20,0)),0)</s:f>
        <s:v>0</s:v>
      </s:c>
      <s:c r="Q12" s="15" t="s">
        <s:v>82</s:v>
      </s:c>
      <s:c r="R12" s="19"/>
      <s:c r="S12" s="15" t="str">
        <s:f t="shared" si="1"/>
        <s:v/>
      </s:c>
      <s:c r="T12" s="15" t="str">
        <s:f t="shared" si="2"/>
        <s:v/>
      </s:c>
      <s:c r="U12" s="15" t="str">
        <s:f t="shared" si="3"/>
        <s:v>■</s:v>
      </s:c>
      <s:c r="V12" s="15" t="str">
        <s:f t="shared" si="4"/>
        <s:v/>
      </s:c>
      <s:c r="W12" s="15" t="str">
        <s:f t="shared" si="5"/>
        <s:v/>
      </s:c>
      <s:c r="X12" s="15" t="str">
        <s:f t="shared" si="6"/>
        <s:v/>
      </s:c>
      <s:c r="Y12" s="15" t="str">
        <s:f t="shared" si="7"/>
        <s:v/>
      </s:c>
    </s:row>
    <s:row r="13" ht="57.75" customHeight="1">
      <s:c r="A13" s="15" t="s">
        <s:v>111</s:v>
      </s:c>
      <s:c r="B13" s="15" t="s">
        <s:v>50</s:v>
      </s:c>
      <s:c r="C13" s="17" t="s">
        <s:v>112</s:v>
      </s:c>
      <s:c r="D13" s="19" t="s">
        <s:v>113</s:v>
      </s:c>
      <s:c r="E13" s="19" t="s">
        <s:v>114</s:v>
      </s:c>
      <s:c r="F13" s="15" t="s">
        <s:v>56</s:v>
      </s:c>
      <s:c r="G13" s="19" t="str">
        <s:f t="array" ref="G13">IFERROR(INDEX(Setup!$B$10:$B$13,MATCH(F13,Setup!$A$10:$A$13,0)),"")</s:f>
        <s:v>Audric Yusuf Maynard Simatupang</s:v>
      </s:c>
      <s:c r="H13" s="15" t="s">
        <s:v>59</s:v>
      </s:c>
      <s:c r="I13" s="15">
        <s:v>3.0</s:v>
      </s:c>
      <s:c r="J13" s="15">
        <s:v>4.0</s:v>
      </s:c>
      <s:c r="K13" s="25">
        <s:f>Setup!$B$4+I13-1</s:f>
        <s:v>46317</s:v>
      </s:c>
      <s:c r="L13" s="25">
        <s:f>Setup!$B$4+J13-1</s:f>
        <s:v>46318</s:v>
      </s:c>
      <s:c r="M13" s="15" t="s">
        <s:v>69</s:v>
      </s:c>
      <s:c r="N13" s="15">
        <s:v>8.0</s:v>
      </s:c>
      <s:c r="O13" s="27" t="inlineStr">
        <s:is>
          <s:t>Done</s:t>
        </s:is>
      </s:c>
      <s:c r="P13" s="29">
        <s:f t="array" ref="P13">IFERROR(INDEX(Setup!$B$17:$B$20,MATCH(O13,Setup!$A$17:$A$20,0)),0)</s:f>
        <s:v>0</s:v>
      </s:c>
      <s:c r="Q13" s="15" t="s">
        <s:v>115</s:v>
      </s:c>
      <s:c r="R13" s="19" t="inlineStr">
        <s:is>
          <s:t>2026-10-27 (Asia/Jakarta): Implemented independent Halt futures, all four choices, persistent scoped rules and precedence, timeout/shutdown Block and persistence before release. Concurrency and persistence failure tests pass.</s:t>
        </s:is>
      </s:c>
      <s:c r="S13" s="15" t="str">
        <s:f t="shared" si="1"/>
        <s:v/>
      </s:c>
      <s:c r="T13" s="15" t="str">
        <s:f t="shared" si="2"/>
        <s:v/>
      </s:c>
      <s:c r="U13" s="15" t="str">
        <s:f t="shared" si="3"/>
        <s:v>■</s:v>
      </s:c>
      <s:c r="V13" s="15" t="str">
        <s:f t="shared" si="4"/>
        <s:v>■</s:v>
      </s:c>
      <s:c r="W13" s="15" t="str">
        <s:f t="shared" si="5"/>
        <s:v/>
      </s:c>
      <s:c r="X13" s="15" t="str">
        <s:f t="shared" si="6"/>
        <s:v/>
      </s:c>
      <s:c r="Y13" s="15" t="str">
        <s:f t="shared" si="7"/>
        <s:v/>
      </s:c>
    </s:row>
    <s:row r="14" ht="44.25" customHeight="1">
      <s:c r="A14" s="15" t="s">
        <s:v>116</s:v>
      </s:c>
      <s:c r="B14" s="15" t="s">
        <s:v>50</s:v>
      </s:c>
      <s:c r="C14" s="17" t="s">
        <s:v>117</s:v>
      </s:c>
      <s:c r="D14" s="19" t="s">
        <s:v>118</s:v>
      </s:c>
      <s:c r="E14" s="19" t="s">
        <s:v>119</s:v>
      </s:c>
      <s:c r="F14" s="15" t="s">
        <s:v>62</s:v>
      </s:c>
      <s:c r="G14" s="19" t="str">
        <s:f t="array" ref="G14">IFERROR(INDEX(Setup!$B$10:$B$13,MATCH(F14,Setup!$A$10:$A$13,0)),"")</s:f>
        <s:v>Ishak Palentino Napitupulu</s:v>
      </s:c>
      <s:c r="H14" s="15"/>
      <s:c r="I14" s="15">
        <s:v>2.0</s:v>
      </s:c>
      <s:c r="J14" s="15">
        <s:v>3.0</s:v>
      </s:c>
      <s:c r="K14" s="25">
        <s:f>Setup!$B$4+I14-1</s:f>
        <s:v>46316</s:v>
      </s:c>
      <s:c r="L14" s="25">
        <s:f>Setup!$B$4+J14-1</s:f>
        <s:v>46317</s:v>
      </s:c>
      <s:c r="M14" s="15" t="s">
        <s:v>69</s:v>
      </s:c>
      <s:c r="N14" s="15">
        <s:v>4.0</s:v>
      </s:c>
      <s:c r="O14" s="27" t="s">
        <s:v>17</s:v>
      </s:c>
      <s:c r="P14" s="29">
        <s:f t="array" ref="P14">IFERROR(INDEX(Setup!$B$17:$B$20,MATCH(O14,Setup!$A$17:$A$20,0)),0)</s:f>
        <s:v>0</s:v>
      </s:c>
      <s:c r="Q14" s="15" t="s">
        <s:v>48</s:v>
      </s:c>
      <s:c r="R14" s="19"/>
      <s:c r="S14" s="15" t="str">
        <s:f t="shared" si="1"/>
        <s:v/>
      </s:c>
      <s:c r="T14" s="15" t="str">
        <s:f t="shared" si="2"/>
        <s:v>■</s:v>
      </s:c>
      <s:c r="U14" s="15" t="str">
        <s:f t="shared" si="3"/>
        <s:v>■</s:v>
      </s:c>
      <s:c r="V14" s="15" t="str">
        <s:f t="shared" si="4"/>
        <s:v/>
      </s:c>
      <s:c r="W14" s="15" t="str">
        <s:f t="shared" si="5"/>
        <s:v/>
      </s:c>
      <s:c r="X14" s="15" t="str">
        <s:f t="shared" si="6"/>
        <s:v/>
      </s:c>
      <s:c r="Y14" s="15" t="str">
        <s:f t="shared" si="7"/>
        <s:v/>
      </s:c>
    </s:row>
    <s:row r="15" ht="30.75" customHeight="1">
      <s:c r="A15" s="15" t="s">
        <s:v>126</s:v>
      </s:c>
      <s:c r="B15" s="15" t="s">
        <s:v>50</s:v>
      </s:c>
      <s:c r="C15" s="17" t="s">
        <s:v>128</s:v>
      </s:c>
      <s:c r="D15" s="19" t="s">
        <s:v>130</s:v>
      </s:c>
      <s:c r="E15" s="19" t="s">
        <s:v>132</s:v>
      </s:c>
      <s:c r="F15" s="15" t="s">
        <s:v>62</s:v>
      </s:c>
      <s:c r="G15" s="19" t="str">
        <s:f t="array" ref="G15">IFERROR(INDEX(Setup!$B$10:$B$13,MATCH(F15,Setup!$A$10:$A$13,0)),"")</s:f>
        <s:v>Ishak Palentino Napitupulu</s:v>
      </s:c>
      <s:c r="H15" s="15" t="s">
        <s:v>56</s:v>
      </s:c>
      <s:c r="I15" s="15">
        <s:v>3.0</s:v>
      </s:c>
      <s:c r="J15" s="15">
        <s:v>4.0</s:v>
      </s:c>
      <s:c r="K15" s="25">
        <s:f>Setup!$B$4+I15-1</s:f>
        <s:v>46317</s:v>
      </s:c>
      <s:c r="L15" s="25">
        <s:f>Setup!$B$4+J15-1</s:f>
        <s:v>46318</s:v>
      </s:c>
      <s:c r="M15" s="15" t="s">
        <s:v>69</s:v>
      </s:c>
      <s:c r="N15" s="15">
        <s:v>7.0</s:v>
      </s:c>
      <s:c r="O15" s="27" t="s">
        <s:v>17</s:v>
      </s:c>
      <s:c r="P15" s="29">
        <s:f t="array" ref="P15">IFERROR(INDEX(Setup!$B$17:$B$20,MATCH(O15,Setup!$A$17:$A$20,0)),0)</s:f>
        <s:v>0</s:v>
      </s:c>
      <s:c r="Q15" s="15" t="s">
        <s:v>133</s:v>
      </s:c>
      <s:c r="R15" s="19"/>
      <s:c r="S15" s="15" t="str">
        <s:f t="shared" si="1"/>
        <s:v/>
      </s:c>
      <s:c r="T15" s="15" t="str">
        <s:f t="shared" si="2"/>
        <s:v/>
      </s:c>
      <s:c r="U15" s="15" t="str">
        <s:f t="shared" si="3"/>
        <s:v>■</s:v>
      </s:c>
      <s:c r="V15" s="15" t="str">
        <s:f t="shared" si="4"/>
        <s:v>■</s:v>
      </s:c>
      <s:c r="W15" s="15" t="str">
        <s:f t="shared" si="5"/>
        <s:v/>
      </s:c>
      <s:c r="X15" s="15" t="str">
        <s:f t="shared" si="6"/>
        <s:v/>
      </s:c>
      <s:c r="Y15" s="15" t="str">
        <s:f t="shared" si="7"/>
        <s:v/>
      </s:c>
    </s:row>
    <s:row r="16" ht="44.25" customHeight="1">
      <s:c r="A16" s="15" t="s">
        <s:v>134</s:v>
      </s:c>
      <s:c r="B16" s="15" t="s">
        <s:v>50</s:v>
      </s:c>
      <s:c r="C16" s="17" t="s">
        <s:v>135</s:v>
      </s:c>
      <s:c r="D16" s="19" t="s">
        <s:v>136</s:v>
      </s:c>
      <s:c r="E16" s="19" t="s">
        <s:v>137</s:v>
      </s:c>
      <s:c r="F16" s="15" t="s">
        <s:v>62</s:v>
      </s:c>
      <s:c r="G16" s="19" t="str">
        <s:f t="array" ref="G16">IFERROR(INDEX(Setup!$B$10:$B$13,MATCH(F16,Setup!$A$10:$A$13,0)),"")</s:f>
        <s:v>Ishak Palentino Napitupulu</s:v>
      </s:c>
      <s:c r="H16" s="15" t="s">
        <s:v>56</s:v>
      </s:c>
      <s:c r="I16" s="15">
        <s:v>4.0</s:v>
      </s:c>
      <s:c r="J16" s="15">
        <s:v>5.0</s:v>
      </s:c>
      <s:c r="K16" s="25">
        <s:f>Setup!$B$4+I16-1</s:f>
        <s:v>46318</s:v>
      </s:c>
      <s:c r="L16" s="25">
        <s:f>Setup!$B$4+J16-1</s:f>
        <s:v>46319</s:v>
      </s:c>
      <s:c r="M16" s="15" t="s">
        <s:v>69</s:v>
      </s:c>
      <s:c r="N16" s="15">
        <s:v>7.0</s:v>
      </s:c>
      <s:c r="O16" s="27" t="s">
        <s:v>17</s:v>
      </s:c>
      <s:c r="P16" s="29">
        <s:f t="array" ref="P16">IFERROR(INDEX(Setup!$B$17:$B$20,MATCH(O16,Setup!$A$17:$A$20,0)),0)</s:f>
        <s:v>0</s:v>
      </s:c>
      <s:c r="Q16" s="15" t="s">
        <s:v>140</s:v>
      </s:c>
      <s:c r="R16" s="19"/>
      <s:c r="S16" s="15" t="str">
        <s:f t="shared" si="1"/>
        <s:v/>
      </s:c>
      <s:c r="T16" s="15" t="str">
        <s:f t="shared" si="2"/>
        <s:v/>
      </s:c>
      <s:c r="U16" s="15" t="str">
        <s:f t="shared" si="3"/>
        <s:v/>
      </s:c>
      <s:c r="V16" s="15" t="str">
        <s:f t="shared" si="4"/>
        <s:v>■</s:v>
      </s:c>
      <s:c r="W16" s="15" t="str">
        <s:f t="shared" si="5"/>
        <s:v>■</s:v>
      </s:c>
      <s:c r="X16" s="15" t="str">
        <s:f t="shared" si="6"/>
        <s:v/>
      </s:c>
      <s:c r="Y16" s="15" t="str">
        <s:f t="shared" si="7"/>
        <s:v/>
      </s:c>
    </s:row>
    <s:row r="17" ht="30.75" customHeight="1">
      <s:c r="A17" s="15" t="s">
        <s:v>141</s:v>
      </s:c>
      <s:c r="B17" s="15" t="s">
        <s:v>50</s:v>
      </s:c>
      <s:c r="C17" s="17" t="s">
        <s:v>142</s:v>
      </s:c>
      <s:c r="D17" s="19" t="s">
        <s:v>143</s:v>
      </s:c>
      <s:c r="E17" s="19" t="s">
        <s:v>144</s:v>
      </s:c>
      <s:c r="F17" s="15" t="s">
        <s:v>62</s:v>
      </s:c>
      <s:c r="G17" s="19" t="str">
        <s:f t="array" ref="G17">IFERROR(INDEX(Setup!$B$10:$B$13,MATCH(F17,Setup!$A$10:$A$13,0)),"")</s:f>
        <s:v>Ishak Palentino Napitupulu</s:v>
      </s:c>
      <s:c r="H17" s="15" t="s">
        <s:v>59</s:v>
      </s:c>
      <s:c r="I17" s="15">
        <s:v>5.0</s:v>
      </s:c>
      <s:c r="J17" s="15">
        <s:v>5.0</s:v>
      </s:c>
      <s:c r="K17" s="25">
        <s:f>Setup!$B$4+I17-1</s:f>
        <s:v>46319</s:v>
      </s:c>
      <s:c r="L17" s="25">
        <s:f>Setup!$B$4+J17-1</s:f>
        <s:v>46319</s:v>
      </s:c>
      <s:c r="M17" s="15" t="s">
        <s:v>71</s:v>
      </s:c>
      <s:c r="N17" s="15">
        <s:v>4.0</s:v>
      </s:c>
      <s:c r="O17" s="27" t="s">
        <s:v>17</s:v>
      </s:c>
      <s:c r="P17" s="29">
        <s:f t="array" ref="P17">IFERROR(INDEX(Setup!$B$17:$B$20,MATCH(O17,Setup!$A$17:$A$20,0)),0)</s:f>
        <s:v>0</s:v>
      </s:c>
      <s:c r="Q17" s="15" t="s">
        <s:v>147</s:v>
      </s:c>
      <s:c r="R17" s="19"/>
      <s:c r="S17" s="15" t="str">
        <s:f t="shared" si="1"/>
        <s:v/>
      </s:c>
      <s:c r="T17" s="15" t="str">
        <s:f t="shared" si="2"/>
        <s:v/>
      </s:c>
      <s:c r="U17" s="15" t="str">
        <s:f t="shared" si="3"/>
        <s:v/>
      </s:c>
      <s:c r="V17" s="15" t="str">
        <s:f t="shared" si="4"/>
        <s:v/>
      </s:c>
      <s:c r="W17" s="15" t="str">
        <s:f t="shared" si="5"/>
        <s:v>■</s:v>
      </s:c>
      <s:c r="X17" s="15" t="str">
        <s:f t="shared" si="6"/>
        <s:v/>
      </s:c>
      <s:c r="Y17" s="15" t="str">
        <s:f t="shared" si="7"/>
        <s:v/>
      </s:c>
    </s:row>
    <s:row r="18" ht="30.75" customHeight="1">
      <s:c r="A18" s="15" t="s">
        <s:v>150</s:v>
      </s:c>
      <s:c r="B18" s="15" t="s">
        <s:v>50</s:v>
      </s:c>
      <s:c r="C18" s="17" t="s">
        <s:v>151</s:v>
      </s:c>
      <s:c r="D18" s="19" t="s">
        <s:v>152</s:v>
      </s:c>
      <s:c r="E18" s="19" t="s">
        <s:v>153</s:v>
      </s:c>
      <s:c r="F18" s="15" t="s">
        <s:v>62</s:v>
      </s:c>
      <s:c r="G18" s="19" t="str">
        <s:f t="array" ref="G18">IFERROR(INDEX(Setup!$B$10:$B$13,MATCH(F18,Setup!$A$10:$A$13,0)),"")</s:f>
        <s:v>Ishak Palentino Napitupulu</s:v>
      </s:c>
      <s:c r="H18" s="15" t="s">
        <s:v>59</s:v>
      </s:c>
      <s:c r="I18" s="15">
        <s:v>6.0</s:v>
      </s:c>
      <s:c r="J18" s="15">
        <s:v>6.0</s:v>
      </s:c>
      <s:c r="K18" s="25">
        <s:f>Setup!$B$4+I18-1</s:f>
        <s:v>46320</s:v>
      </s:c>
      <s:c r="L18" s="25">
        <s:f>Setup!$B$4+J18-1</s:f>
        <s:v>46320</s:v>
      </s:c>
      <s:c r="M18" s="15" t="s">
        <s:v>72</s:v>
      </s:c>
      <s:c r="N18" s="15">
        <s:v>5.0</s:v>
      </s:c>
      <s:c r="O18" s="27" t="s">
        <s:v>17</s:v>
      </s:c>
      <s:c r="P18" s="29">
        <s:f t="array" ref="P18">IFERROR(INDEX(Setup!$B$17:$B$20,MATCH(O18,Setup!$A$17:$A$20,0)),0)</s:f>
        <s:v>0</s:v>
      </s:c>
      <s:c r="Q18" s="15" t="s">
        <s:v>98</s:v>
      </s:c>
      <s:c r="R18" s="19"/>
      <s:c r="S18" s="15" t="str">
        <s:f t="shared" si="1"/>
        <s:v/>
      </s:c>
      <s:c r="T18" s="15" t="str">
        <s:f t="shared" si="2"/>
        <s:v/>
      </s:c>
      <s:c r="U18" s="15" t="str">
        <s:f t="shared" si="3"/>
        <s:v/>
      </s:c>
      <s:c r="V18" s="15" t="str">
        <s:f t="shared" si="4"/>
        <s:v/>
      </s:c>
      <s:c r="W18" s="15" t="str">
        <s:f t="shared" si="5"/>
        <s:v/>
      </s:c>
      <s:c r="X18" s="15" t="str">
        <s:f t="shared" si="6"/>
        <s:v>■</s:v>
      </s:c>
      <s:c r="Y18" s="15" t="str">
        <s:f t="shared" si="7"/>
        <s:v/>
      </s:c>
    </s:row>
    <s:row r="19" ht="44.25" customHeight="1">
      <s:c r="A19" s="15" t="s">
        <s:v>156</s:v>
      </s:c>
      <s:c r="B19" s="15" t="s">
        <s:v>50</s:v>
      </s:c>
      <s:c r="C19" s="17" t="s">
        <s:v>157</s:v>
      </s:c>
      <s:c r="D19" s="19" t="s">
        <s:v>158</s:v>
      </s:c>
      <s:c r="E19" s="19" t="s">
        <s:v>159</s:v>
      </s:c>
      <s:c r="F19" s="15" t="s">
        <s:v>59</s:v>
      </s:c>
      <s:c r="G19" s="19" t="str">
        <s:f t="array" ref="G19">IFERROR(INDEX(Setup!$B$10:$B$13,MATCH(F19,Setup!$A$10:$A$13,0)),"")</s:f>
        <s:v>Mahatma Brahmana</s:v>
      </s:c>
      <s:c r="H19" s="15" t="s">
        <s:v>56</s:v>
      </s:c>
      <s:c r="I19" s="15">
        <s:v>5.0</s:v>
      </s:c>
      <s:c r="J19" s="15">
        <s:v>5.0</s:v>
      </s:c>
      <s:c r="K19" s="25">
        <s:f>Setup!$B$4+I19-1</s:f>
        <s:v>46319</s:v>
      </s:c>
      <s:c r="L19" s="25">
        <s:f>Setup!$B$4+J19-1</s:f>
        <s:v>46319</s:v>
      </s:c>
      <s:c r="M19" s="15" t="s">
        <s:v>71</s:v>
      </s:c>
      <s:c r="N19" s="15">
        <s:v>3.0</s:v>
      </s:c>
      <s:c r="O19" s="27" t="s">
        <s:v>17</s:v>
      </s:c>
      <s:c r="P19" s="29">
        <s:f t="array" ref="P19">IFERROR(INDEX(Setup!$B$17:$B$20,MATCH(O19,Setup!$A$17:$A$20,0)),0)</s:f>
        <s:v>0</s:v>
      </s:c>
      <s:c r="Q19" s="15" t="s">
        <s:v>77</s:v>
      </s:c>
      <s:c r="R19" s="19"/>
      <s:c r="S19" s="15" t="str">
        <s:f t="shared" si="1"/>
        <s:v/>
      </s:c>
      <s:c r="T19" s="15" t="str">
        <s:f t="shared" si="2"/>
        <s:v/>
      </s:c>
      <s:c r="U19" s="15" t="str">
        <s:f t="shared" si="3"/>
        <s:v/>
      </s:c>
      <s:c r="V19" s="15" t="str">
        <s:f t="shared" si="4"/>
        <s:v/>
      </s:c>
      <s:c r="W19" s="15" t="str">
        <s:f t="shared" si="5"/>
        <s:v>■</s:v>
      </s:c>
      <s:c r="X19" s="15" t="str">
        <s:f t="shared" si="6"/>
        <s:v/>
      </s:c>
      <s:c r="Y19" s="15" t="str">
        <s:f t="shared" si="7"/>
        <s:v/>
      </s:c>
    </s:row>
    <s:row r="20" ht="30.75" customHeight="1">
      <s:c r="A20" s="15" t="s">
        <s:v>162</s:v>
      </s:c>
      <s:c r="B20" s="15" t="s">
        <s:v>50</s:v>
      </s:c>
      <s:c r="C20" s="17" t="s">
        <s:v>163</s:v>
      </s:c>
      <s:c r="D20" s="19" t="s">
        <s:v>164</s:v>
      </s:c>
      <s:c r="E20" s="19" t="s">
        <s:v>165</s:v>
      </s:c>
      <s:c r="F20" s="15" t="s">
        <s:v>59</s:v>
      </s:c>
      <s:c r="G20" s="19" t="str">
        <s:f t="array" ref="G20">IFERROR(INDEX(Setup!$B$10:$B$13,MATCH(F20,Setup!$A$10:$A$13,0)),"")</s:f>
        <s:v>Mahatma Brahmana</s:v>
      </s:c>
      <s:c r="H20" s="15"/>
      <s:c r="I20" s="15">
        <s:v>6.0</s:v>
      </s:c>
      <s:c r="J20" s="15">
        <s:v>6.0</s:v>
      </s:c>
      <s:c r="K20" s="25">
        <s:f>Setup!$B$4+I20-1</s:f>
        <s:v>46320</s:v>
      </s:c>
      <s:c r="L20" s="25">
        <s:f>Setup!$B$4+J20-1</s:f>
        <s:v>46320</s:v>
      </s:c>
      <s:c r="M20" s="15" t="s">
        <s:v>73</s:v>
      </s:c>
      <s:c r="N20" s="15">
        <s:v>3.0</s:v>
      </s:c>
      <s:c r="O20" s="27" t="s">
        <s:v>17</s:v>
      </s:c>
      <s:c r="P20" s="29">
        <s:f t="array" ref="P20">IFERROR(INDEX(Setup!$B$17:$B$20,MATCH(O20,Setup!$A$17:$A$20,0)),0)</s:f>
        <s:v>0</s:v>
      </s:c>
      <s:c r="Q20" s="15" t="s">
        <s:v>166</s:v>
      </s:c>
      <s:c r="R20" s="19"/>
      <s:c r="S20" s="15" t="str">
        <s:f t="shared" si="1"/>
        <s:v/>
      </s:c>
      <s:c r="T20" s="15" t="str">
        <s:f t="shared" si="2"/>
        <s:v/>
      </s:c>
      <s:c r="U20" s="15" t="str">
        <s:f t="shared" si="3"/>
        <s:v/>
      </s:c>
      <s:c r="V20" s="15" t="str">
        <s:f t="shared" si="4"/>
        <s:v/>
      </s:c>
      <s:c r="W20" s="15" t="str">
        <s:f t="shared" si="5"/>
        <s:v/>
      </s:c>
      <s:c r="X20" s="15" t="str">
        <s:f t="shared" si="6"/>
        <s:v>■</s:v>
      </s:c>
      <s:c r="Y20" s="15" t="str">
        <s:f t="shared" si="7"/>
        <s:v/>
      </s:c>
    </s:row>
    <s:row r="21" ht="30.75" customHeight="1">
      <s:c r="A21" s="15" t="s">
        <s:v>169</s:v>
      </s:c>
      <s:c r="B21" s="15" t="s">
        <s:v>50</s:v>
      </s:c>
      <s:c r="C21" s="17" t="s">
        <s:v>170</s:v>
      </s:c>
      <s:c r="D21" s="19" t="s">
        <s:v>171</s:v>
      </s:c>
      <s:c r="E21" s="19" t="s">
        <s:v>172</s:v>
      </s:c>
      <s:c r="F21" s="15" t="s">
        <s:v>59</s:v>
      </s:c>
      <s:c r="G21" s="19" t="str">
        <s:f t="array" ref="G21">IFERROR(INDEX(Setup!$B$10:$B$13,MATCH(F21,Setup!$A$10:$A$13,0)),"")</s:f>
        <s:v>Mahatma Brahmana</s:v>
      </s:c>
      <s:c r="H21" s="15" t="s">
        <s:v>56</s:v>
      </s:c>
      <s:c r="I21" s="15">
        <s:v>5.0</s:v>
      </s:c>
      <s:c r="J21" s="15">
        <s:v>6.0</s:v>
      </s:c>
      <s:c r="K21" s="25">
        <s:f>Setup!$B$4+I21-1</s:f>
        <s:v>46319</s:v>
      </s:c>
      <s:c r="L21" s="25">
        <s:f>Setup!$B$4+J21-1</s:f>
        <s:v>46320</s:v>
      </s:c>
      <s:c r="M21" s="15" t="s">
        <s:v>69</s:v>
      </s:c>
      <s:c r="N21" s="15">
        <s:v>5.0</s:v>
      </s:c>
      <s:c r="O21" s="27" t="s">
        <s:v>17</s:v>
      </s:c>
      <s:c r="P21" s="29">
        <s:f t="array" ref="P21">IFERROR(INDEX(Setup!$B$17:$B$20,MATCH(O21,Setup!$A$17:$A$20,0)),0)</s:f>
        <s:v>0</s:v>
      </s:c>
      <s:c r="Q21" s="15" t="s">
        <s:v>174</s:v>
      </s:c>
      <s:c r="R21" s="19"/>
      <s:c r="S21" s="15" t="str">
        <s:f t="shared" si="1"/>
        <s:v/>
      </s:c>
      <s:c r="T21" s="15" t="str">
        <s:f t="shared" si="2"/>
        <s:v/>
      </s:c>
      <s:c r="U21" s="15" t="str">
        <s:f t="shared" si="3"/>
        <s:v/>
      </s:c>
      <s:c r="V21" s="15" t="str">
        <s:f t="shared" si="4"/>
        <s:v/>
      </s:c>
      <s:c r="W21" s="15" t="str">
        <s:f t="shared" si="5"/>
        <s:v>■</s:v>
      </s:c>
      <s:c r="X21" s="15" t="str">
        <s:f t="shared" si="6"/>
        <s:v>■</s:v>
      </s:c>
      <s:c r="Y21" s="15" t="str">
        <s:f t="shared" si="7"/>
        <s:v/>
      </s:c>
    </s:row>
    <s:row r="22" ht="44.25" customHeight="1">
      <s:c r="A22" s="15" t="s">
        <s:v>177</s:v>
      </s:c>
      <s:c r="B22" s="15" t="s">
        <s:v>50</s:v>
      </s:c>
      <s:c r="C22" s="17" t="s">
        <s:v>178</s:v>
      </s:c>
      <s:c r="D22" s="19" t="s">
        <s:v>179</s:v>
      </s:c>
      <s:c r="E22" s="19" t="s">
        <s:v>180</s:v>
      </s:c>
      <s:c r="F22" s="15" t="s">
        <s:v>49</s:v>
      </s:c>
      <s:c r="G22" s="19" t="str">
        <s:f t="array" ref="G22">IFERROR(INDEX(Setup!$B$10:$B$13,MATCH(F22,Setup!$A$10:$A$13,0)),"")</s:f>
        <s:v>Marcel Luther Sitorus</s:v>
      </s:c>
      <s:c r="H22" s="15" t="s">
        <s:v>56</s:v>
      </s:c>
      <s:c r="I22" s="15">
        <s:v>4.0</s:v>
      </s:c>
      <s:c r="J22" s="15">
        <s:v>5.0</s:v>
      </s:c>
      <s:c r="K22" s="25">
        <s:f>Setup!$B$4+I22-1</s:f>
        <s:v>46318</s:v>
      </s:c>
      <s:c r="L22" s="25">
        <s:f>Setup!$B$4+J22-1</s:f>
        <s:v>46319</s:v>
      </s:c>
      <s:c r="M22" s="15" t="s">
        <s:v>69</s:v>
      </s:c>
      <s:c r="N22" s="15">
        <s:v>3.0</s:v>
      </s:c>
      <s:c r="O22" s="27" t="s">
        <s:v>17</s:v>
      </s:c>
      <s:c r="P22" s="29">
        <s:f t="array" ref="P22">IFERROR(INDEX(Setup!$B$17:$B$20,MATCH(O22,Setup!$A$17:$A$20,0)),0)</s:f>
        <s:v>0</s:v>
      </s:c>
      <s:c r="Q22" s="15" t="s">
        <s:v>48</s:v>
      </s:c>
      <s:c r="R22" s="19"/>
      <s:c r="S22" s="15" t="str">
        <s:f t="shared" si="1"/>
        <s:v/>
      </s:c>
      <s:c r="T22" s="15" t="str">
        <s:f t="shared" si="2"/>
        <s:v/>
      </s:c>
      <s:c r="U22" s="15" t="str">
        <s:f t="shared" si="3"/>
        <s:v/>
      </s:c>
      <s:c r="V22" s="15" t="str">
        <s:f t="shared" si="4"/>
        <s:v>■</s:v>
      </s:c>
      <s:c r="W22" s="15" t="str">
        <s:f t="shared" si="5"/>
        <s:v>■</s:v>
      </s:c>
      <s:c r="X22" s="15" t="str">
        <s:f t="shared" si="6"/>
        <s:v/>
      </s:c>
      <s:c r="Y22" s="15" t="str">
        <s:f t="shared" si="7"/>
        <s:v/>
      </s:c>
    </s:row>
    <s:row r="23" ht="30.75" customHeight="1">
      <s:c r="A23" s="15" t="s">
        <s:v>181</s:v>
      </s:c>
      <s:c r="B23" s="15" t="s">
        <s:v>50</s:v>
      </s:c>
      <s:c r="C23" s="17" t="s">
        <s:v>182</s:v>
      </s:c>
      <s:c r="D23" s="19" t="s">
        <s:v>183</s:v>
      </s:c>
      <s:c r="E23" s="19" t="s">
        <s:v>184</s:v>
      </s:c>
      <s:c r="F23" s="15" t="s">
        <s:v>56</s:v>
      </s:c>
      <s:c r="G23" s="19" t="str">
        <s:f t="array" ref="G23">IFERROR(INDEX(Setup!$B$10:$B$13,MATCH(F23,Setup!$A$10:$A$13,0)),"")</s:f>
        <s:v>Audric Yusuf Maynard Simatupang</s:v>
      </s:c>
      <s:c r="H23" s="15" t="s">
        <s:v>185</s:v>
      </s:c>
      <s:c r="I23" s="15">
        <s:v>6.0</s:v>
      </s:c>
      <s:c r="J23" s="15">
        <s:v>6.0</s:v>
      </s:c>
      <s:c r="K23" s="25">
        <s:f>Setup!$B$4+I23-1</s:f>
        <s:v>46320</s:v>
      </s:c>
      <s:c r="L23" s="25">
        <s:f>Setup!$B$4+J23-1</s:f>
        <s:v>46320</s:v>
      </s:c>
      <s:c r="M23" s="15" t="s">
        <s:v>69</s:v>
      </s:c>
      <s:c r="N23" s="15">
        <s:v>4.0</s:v>
      </s:c>
      <s:c r="O23" s="27" t="inlineStr">
        <s:is>
          <s:t>In progress</s:t>
        </s:is>
      </s:c>
      <s:c r="P23" s="29">
        <s:f t="array" ref="P23">IFERROR(INDEX(Setup!$B$17:$B$20,MATCH(O23,Setup!$A$17:$A$20,0)),0)</s:f>
        <s:v>0</s:v>
      </s:c>
      <s:c r="Q23" s="15" t="s">
        <s:v>186</s:v>
      </s:c>
      <s:c r="R23" s="19" t="inlineStr">
        <s:is>
          <s:t>2026-10-27 (Asia/Jakarta): Three real HTTP/HTTPS backend rehearsals pass for tracker Halt, PII allow/block, score, saved rules and timeout. Full dashboard rehearsal awaits R4 UI integration.</s:t>
        </s:is>
      </s:c>
      <s:c r="S23" s="15" t="str">
        <s:f t="shared" si="1"/>
        <s:v/>
      </s:c>
      <s:c r="T23" s="15" t="str">
        <s:f t="shared" si="2"/>
        <s:v/>
      </s:c>
      <s:c r="U23" s="15" t="str">
        <s:f t="shared" si="3"/>
        <s:v/>
      </s:c>
      <s:c r="V23" s="15" t="str">
        <s:f t="shared" si="4"/>
        <s:v/>
      </s:c>
      <s:c r="W23" s="15" t="str">
        <s:f t="shared" si="5"/>
        <s:v/>
      </s:c>
      <s:c r="X23" s="15" t="str">
        <s:f t="shared" si="6"/>
        <s:v>■</s:v>
      </s:c>
      <s:c r="Y23" s="15" t="str">
        <s:f t="shared" si="7"/>
        <s:v/>
      </s:c>
    </s:row>
    <s:row r="24" ht="44.25" customHeight="1">
      <s:c r="A24" s="15" t="s">
        <s:v>187</s:v>
      </s:c>
      <s:c r="B24" s="15" t="s">
        <s:v>50</s:v>
      </s:c>
      <s:c r="C24" s="17" t="s">
        <s:v>188</s:v>
      </s:c>
      <s:c r="D24" s="19" t="s">
        <s:v>189</s:v>
      </s:c>
      <s:c r="E24" s="19" t="s">
        <s:v>190</s:v>
      </s:c>
      <s:c r="F24" s="15" t="s">
        <s:v>56</s:v>
      </s:c>
      <s:c r="G24" s="19" t="str">
        <s:f t="array" ref="G24">IFERROR(INDEX(Setup!$B$10:$B$13,MATCH(F24,Setup!$A$10:$A$13,0)),"")</s:f>
        <s:v>Audric Yusuf Maynard Simatupang</s:v>
      </s:c>
      <s:c r="H24" s="15" t="s">
        <s:v>191</s:v>
      </s:c>
      <s:c r="I24" s="15">
        <s:v>7.0</s:v>
      </s:c>
      <s:c r="J24" s="15">
        <s:v>7.0</s:v>
      </s:c>
      <s:c r="K24" s="25">
        <s:f>Setup!$B$4+I24-1</s:f>
        <s:v>46321</s:v>
      </s:c>
      <s:c r="L24" s="25">
        <s:f>Setup!$B$4+J24-1</s:f>
        <s:v>46321</s:v>
      </s:c>
      <s:c r="M24" s="15" t="s">
        <s:v>69</s:v>
      </s:c>
      <s:c r="N24" s="15">
        <s:v>4.0</s:v>
      </s:c>
      <s:c r="O24" s="27" t="inlineStr">
        <s:is>
          <s:t>In progress</s:t>
        </s:is>
      </s:c>
      <s:c r="P24" s="29">
        <s:f t="array" ref="P24">IFERROR(INDEX(Setup!$B$17:$B$20,MATCH(O24,Setup!$A$17:$A$20,0)),0)</s:f>
        <s:v>0</s:v>
      </s:c>
      <s:c r="Q24" s="15" t="s">
        <s:v>181</s:v>
      </s:c>
      <s:c r="R24" s="19" t="inlineStr">
        <s:is>
          <s:t>2026-10-27 (Asia/Jakarta): Measured Linux backend: 28/28 named flows, 18/18 PII matches, 23.17 ms maximum decision-to-response. Reproduce docs/evidence/kpis.json. Windows browser sample, real UI screenshots and backup video pending.</s:t>
        </s:is>
      </s:c>
      <s:c r="S24" s="15" t="str">
        <s:f t="shared" si="1"/>
        <s:v/>
      </s:c>
      <s:c r="T24" s="15" t="str">
        <s:f t="shared" si="2"/>
        <s:v/>
      </s:c>
      <s:c r="U24" s="15" t="str">
        <s:f t="shared" si="3"/>
        <s:v/>
      </s:c>
      <s:c r="V24" s="15" t="str">
        <s:f t="shared" si="4"/>
        <s:v/>
      </s:c>
      <s:c r="W24" s="15" t="str">
        <s:f t="shared" si="5"/>
        <s:v/>
      </s:c>
      <s:c r="X24" s="15" t="str">
        <s:f t="shared" si="6"/>
        <s:v/>
      </s:c>
      <s:c r="Y24" s="15" t="str">
        <s:f t="shared" si="7"/>
        <s:v>■</s:v>
      </s:c>
    </s:row>
    <s:row r="25" ht="30.75" customHeight="1">
      <s:c r="A25" s="15" t="s">
        <s:v>192</s:v>
      </s:c>
      <s:c r="B25" s="15" t="s">
        <s:v>50</s:v>
      </s:c>
      <s:c r="C25" s="17" t="s">
        <s:v>193</s:v>
      </s:c>
      <s:c r="D25" s="19" t="s">
        <s:v>194</s:v>
      </s:c>
      <s:c r="E25" s="19" t="s">
        <s:v>195</s:v>
      </s:c>
      <s:c r="F25" s="15" t="s">
        <s:v>49</s:v>
      </s:c>
      <s:c r="G25" s="19" t="str">
        <s:f t="array" ref="G25">IFERROR(INDEX(Setup!$B$10:$B$13,MATCH(F25,Setup!$A$10:$A$13,0)),"")</s:f>
        <s:v>Marcel Luther Sitorus</s:v>
      </s:c>
      <s:c r="H25" s="15" t="s">
        <s:v>62</s:v>
      </s:c>
      <s:c r="I25" s="15">
        <s:v>7.0</s:v>
      </s:c>
      <s:c r="J25" s="15">
        <s:v>7.0</s:v>
      </s:c>
      <s:c r="K25" s="25">
        <s:f>Setup!$B$4+I25-1</s:f>
        <s:v>46321</s:v>
      </s:c>
      <s:c r="L25" s="25">
        <s:f>Setup!$B$4+J25-1</s:f>
        <s:v>46321</s:v>
      </s:c>
      <s:c r="M25" s="15" t="s">
        <s:v>71</s:v>
      </s:c>
      <s:c r="N25" s="15">
        <s:v>2.0</s:v>
      </s:c>
      <s:c r="O25" s="27" t="s">
        <s:v>17</s:v>
      </s:c>
      <s:c r="P25" s="29">
        <s:f t="array" ref="P25">IFERROR(INDEX(Setup!$B$17:$B$20,MATCH(O25,Setup!$A$17:$A$20,0)),0)</s:f>
        <s:v>0</s:v>
      </s:c>
      <s:c r="Q25" s="15" t="s">
        <s:v>181</s:v>
      </s:c>
      <s:c r="R25" s="19"/>
      <s:c r="S25" s="15" t="str">
        <s:f t="shared" si="1"/>
        <s:v/>
      </s:c>
      <s:c r="T25" s="15" t="str">
        <s:f t="shared" si="2"/>
        <s:v/>
      </s:c>
      <s:c r="U25" s="15" t="str">
        <s:f t="shared" si="3"/>
        <s:v/>
      </s:c>
      <s:c r="V25" s="15" t="str">
        <s:f t="shared" si="4"/>
        <s:v/>
      </s:c>
      <s:c r="W25" s="15" t="str">
        <s:f t="shared" si="5"/>
        <s:v/>
      </s:c>
      <s:c r="X25" s="15" t="str">
        <s:f t="shared" si="6"/>
        <s:v/>
      </s:c>
      <s:c r="Y25" s="15" t="str">
        <s:f t="shared" si="7"/>
        <s:v>■</s:v>
      </s:c>
    </s:row>
    <s:row r="26" ht="84.75" customHeight="1">
      <s:c r="A26" s="15" t="s">
        <s:v>196</s:v>
      </s:c>
      <s:c r="B26" s="15" t="s">
        <s:v>81</s:v>
      </s:c>
      <s:c r="C26" s="17" t="s">
        <s:v>197</s:v>
      </s:c>
      <s:c r="D26" s="19" t="s">
        <s:v>198</s:v>
      </s:c>
      <s:c r="E26" s="19" t="s">
        <s:v>199</s:v>
      </s:c>
      <s:c r="F26" s="15" t="s">
        <s:v>49</s:v>
      </s:c>
      <s:c r="G26" s="19" t="str">
        <s:f t="array" ref="G26">IFERROR(INDEX(Setup!$B$10:$B$13,MATCH(F26,Setup!$A$10:$A$13,0)),"")</s:f>
        <s:v>Marcel Luther Sitorus</s:v>
      </s:c>
      <s:c r="H26" s="15" t="s">
        <s:v>185</s:v>
      </s:c>
      <s:c r="I26" s="15">
        <s:v>1.0</s:v>
      </s:c>
      <s:c r="J26" s="15">
        <s:v>1.0</s:v>
      </s:c>
      <s:c r="K26" s="25">
        <s:f>Setup!$B$4+I26-1</s:f>
        <s:v>46315</s:v>
      </s:c>
      <s:c r="L26" s="25">
        <s:f>Setup!$B$4+J26-1</s:f>
        <s:v>46315</s:v>
      </s:c>
      <s:c r="M26" s="15" t="s">
        <s:v>70</s:v>
      </s:c>
      <s:c r="N26" s="15">
        <s:v>3.0</s:v>
      </s:c>
      <s:c r="O26" s="27" t="s">
        <s:v>17</s:v>
      </s:c>
      <s:c r="P26" s="29">
        <s:f t="array" ref="P26">IFERROR(INDEX(Setup!$B$17:$B$20,MATCH(O26,Setup!$A$17:$A$20,0)),0)</s:f>
        <s:v>0</s:v>
      </s:c>
      <s:c r="Q26" s="15"/>
      <s:c r="R26" s="19"/>
      <s:c r="S26" s="15" t="str">
        <s:f t="shared" si="1"/>
        <s:v>■</s:v>
      </s:c>
      <s:c r="T26" s="15" t="str">
        <s:f t="shared" si="2"/>
        <s:v/>
      </s:c>
      <s:c r="U26" s="15" t="str">
        <s:f t="shared" si="3"/>
        <s:v/>
      </s:c>
      <s:c r="V26" s="15" t="str">
        <s:f t="shared" si="4"/>
        <s:v/>
      </s:c>
      <s:c r="W26" s="15" t="str">
        <s:f t="shared" si="5"/>
        <s:v/>
      </s:c>
      <s:c r="X26" s="15" t="str">
        <s:f t="shared" si="6"/>
        <s:v/>
      </s:c>
      <s:c r="Y26" s="15" t="str">
        <s:f t="shared" si="7"/>
        <s:v/>
      </s:c>
    </s:row>
    <s:row r="27" ht="71.25" customHeight="1">
      <s:c r="A27" s="15" t="s">
        <s:v>200</s:v>
      </s:c>
      <s:c r="B27" s="15" t="s">
        <s:v>81</s:v>
      </s:c>
      <s:c r="C27" s="17" t="s">
        <s:v>201</s:v>
      </s:c>
      <s:c r="D27" s="19" t="s">
        <s:v>202</s:v>
      </s:c>
      <s:c r="E27" s="19" t="s">
        <s:v>203</s:v>
      </s:c>
      <s:c r="F27" s="15" t="s">
        <s:v>49</s:v>
      </s:c>
      <s:c r="G27" s="19" t="str">
        <s:f t="array" ref="G27">IFERROR(INDEX(Setup!$B$10:$B$13,MATCH(F27,Setup!$A$10:$A$13,0)),"")</s:f>
        <s:v>Marcel Luther Sitorus</s:v>
      </s:c>
      <s:c r="H27" s="15" t="s">
        <s:v>62</s:v>
      </s:c>
      <s:c r="I27" s="15">
        <s:v>1.0</s:v>
      </s:c>
      <s:c r="J27" s="15">
        <s:v>4.0</s:v>
      </s:c>
      <s:c r="K27" s="25">
        <s:f>Setup!$B$4+I27-1</s:f>
        <s:v>46315</s:v>
      </s:c>
      <s:c r="L27" s="25">
        <s:f>Setup!$B$4+J27-1</s:f>
        <s:v>46318</s:v>
      </s:c>
      <s:c r="M27" s="15" t="s">
        <s:v>70</s:v>
      </s:c>
      <s:c r="N27" s="15">
        <s:v>5.0</s:v>
      </s:c>
      <s:c r="O27" s="27" t="s">
        <s:v>17</s:v>
      </s:c>
      <s:c r="P27" s="29">
        <s:f t="array" ref="P27">IFERROR(INDEX(Setup!$B$17:$B$20,MATCH(O27,Setup!$A$17:$A$20,0)),0)</s:f>
        <s:v>0</s:v>
      </s:c>
      <s:c r="Q27" s="15"/>
      <s:c r="R27" s="19"/>
      <s:c r="S27" s="15" t="str">
        <s:f t="shared" si="1"/>
        <s:v>■</s:v>
      </s:c>
      <s:c r="T27" s="15" t="str">
        <s:f t="shared" si="2"/>
        <s:v>■</s:v>
      </s:c>
      <s:c r="U27" s="15" t="str">
        <s:f t="shared" si="3"/>
        <s:v>■</s:v>
      </s:c>
      <s:c r="V27" s="15" t="str">
        <s:f t="shared" si="4"/>
        <s:v>■</s:v>
      </s:c>
      <s:c r="W27" s="15" t="str">
        <s:f t="shared" si="5"/>
        <s:v/>
      </s:c>
      <s:c r="X27" s="15" t="str">
        <s:f t="shared" si="6"/>
        <s:v/>
      </s:c>
      <s:c r="Y27" s="15" t="str">
        <s:f t="shared" si="7"/>
        <s:v/>
      </s:c>
    </s:row>
    <s:row r="28" ht="44.25" customHeight="1">
      <s:c r="A28" s="15" t="s">
        <s:v>204</s:v>
      </s:c>
      <s:c r="B28" s="15" t="s">
        <s:v>81</s:v>
      </s:c>
      <s:c r="C28" s="17" t="s">
        <s:v>205</s:v>
      </s:c>
      <s:c r="D28" s="19" t="s">
        <s:v>206</s:v>
      </s:c>
      <s:c r="E28" s="19" t="s">
        <s:v>207</s:v>
      </s:c>
      <s:c r="F28" s="15" t="s">
        <s:v>62</s:v>
      </s:c>
      <s:c r="G28" s="19" t="str">
        <s:f t="array" ref="G28">IFERROR(INDEX(Setup!$B$10:$B$13,MATCH(F28,Setup!$A$10:$A$13,0)),"")</s:f>
        <s:v>Ishak Palentino Napitupulu</s:v>
      </s:c>
      <s:c r="H28" s="15"/>
      <s:c r="I28" s="15">
        <s:v>1.0</s:v>
      </s:c>
      <s:c r="J28" s="15">
        <s:v>1.0</s:v>
      </s:c>
      <s:c r="K28" s="25">
        <s:f>Setup!$B$4+I28-1</s:f>
        <s:v>46315</s:v>
      </s:c>
      <s:c r="L28" s="25">
        <s:f>Setup!$B$4+J28-1</s:f>
        <s:v>46315</s:v>
      </s:c>
      <s:c r="M28" s="15" t="s">
        <s:v>70</s:v>
      </s:c>
      <s:c r="N28" s="15">
        <s:v>1.0</s:v>
      </s:c>
      <s:c r="O28" s="27" t="s">
        <s:v>17</s:v>
      </s:c>
      <s:c r="P28" s="29">
        <s:f t="array" ref="P28">IFERROR(INDEX(Setup!$B$17:$B$20,MATCH(O28,Setup!$A$17:$A$20,0)),0)</s:f>
        <s:v>0</s:v>
      </s:c>
      <s:c r="Q28" s="15" t="s">
        <s:v>48</s:v>
      </s:c>
      <s:c r="R28" s="19"/>
      <s:c r="S28" s="15" t="str">
        <s:f t="shared" si="1"/>
        <s:v>■</s:v>
      </s:c>
      <s:c r="T28" s="15" t="str">
        <s:f t="shared" si="2"/>
        <s:v/>
      </s:c>
      <s:c r="U28" s="15" t="str">
        <s:f t="shared" si="3"/>
        <s:v/>
      </s:c>
      <s:c r="V28" s="15" t="str">
        <s:f t="shared" si="4"/>
        <s:v/>
      </s:c>
      <s:c r="W28" s="15" t="str">
        <s:f t="shared" si="5"/>
        <s:v/>
      </s:c>
      <s:c r="X28" s="15" t="str">
        <s:f t="shared" si="6"/>
        <s:v/>
      </s:c>
      <s:c r="Y28" s="15" t="str">
        <s:f t="shared" si="7"/>
        <s:v/>
      </s:c>
    </s:row>
    <s:row r="29" ht="57.75" customHeight="1">
      <s:c r="A29" s="15" t="s">
        <s:v>208</s:v>
      </s:c>
      <s:c r="B29" s="15" t="s">
        <s:v>81</s:v>
      </s:c>
      <s:c r="C29" s="17" t="s">
        <s:v>209</s:v>
      </s:c>
      <s:c r="D29" s="19" t="s">
        <s:v>210</s:v>
      </s:c>
      <s:c r="E29" s="19" t="s">
        <s:v>211</s:v>
      </s:c>
      <s:c r="F29" s="15" t="s">
        <s:v>49</s:v>
      </s:c>
      <s:c r="G29" s="19" t="str">
        <s:f t="array" ref="G29">IFERROR(INDEX(Setup!$B$10:$B$13,MATCH(F29,Setup!$A$10:$A$13,0)),"")</s:f>
        <s:v>Marcel Luther Sitorus</s:v>
      </s:c>
      <s:c r="H29" s="15" t="s">
        <s:v>59</s:v>
      </s:c>
      <s:c r="I29" s="15">
        <s:v>2.0</s:v>
      </s:c>
      <s:c r="J29" s="15">
        <s:v>2.0</s:v>
      </s:c>
      <s:c r="K29" s="25">
        <s:f>Setup!$B$4+I29-1</s:f>
        <s:v>46316</s:v>
      </s:c>
      <s:c r="L29" s="25">
        <s:f>Setup!$B$4+J29-1</s:f>
        <s:v>46316</s:v>
      </s:c>
      <s:c r="M29" s="15" t="s">
        <s:v>70</s:v>
      </s:c>
      <s:c r="N29" s="15">
        <s:v>4.0</s:v>
      </s:c>
      <s:c r="O29" s="27" t="s">
        <s:v>17</s:v>
      </s:c>
      <s:c r="P29" s="29">
        <s:f t="array" ref="P29">IFERROR(INDEX(Setup!$B$17:$B$20,MATCH(O29,Setup!$A$17:$A$20,0)),0)</s:f>
        <s:v>0</s:v>
      </s:c>
      <s:c r="Q29" s="15" t="s">
        <s:v>196</s:v>
      </s:c>
      <s:c r="R29" s="19"/>
      <s:c r="S29" s="15" t="str">
        <s:f t="shared" si="1"/>
        <s:v/>
      </s:c>
      <s:c r="T29" s="15" t="str">
        <s:f t="shared" si="2"/>
        <s:v>■</s:v>
      </s:c>
      <s:c r="U29" s="15" t="str">
        <s:f t="shared" si="3"/>
        <s:v/>
      </s:c>
      <s:c r="V29" s="15" t="str">
        <s:f t="shared" si="4"/>
        <s:v/>
      </s:c>
      <s:c r="W29" s="15" t="str">
        <s:f t="shared" si="5"/>
        <s:v/>
      </s:c>
      <s:c r="X29" s="15" t="str">
        <s:f t="shared" si="6"/>
        <s:v/>
      </s:c>
      <s:c r="Y29" s="15" t="str">
        <s:f t="shared" si="7"/>
        <s:v/>
      </s:c>
    </s:row>
    <s:row r="30" ht="44.25" customHeight="1">
      <s:c r="A30" s="15" t="s">
        <s:v>212</s:v>
      </s:c>
      <s:c r="B30" s="15" t="s">
        <s:v>81</s:v>
      </s:c>
      <s:c r="C30" s="17" t="s">
        <s:v>213</s:v>
      </s:c>
      <s:c r="D30" s="19" t="s">
        <s:v>214</s:v>
      </s:c>
      <s:c r="E30" s="19" t="s">
        <s:v>215</s:v>
      </s:c>
      <s:c r="F30" s="15" t="s">
        <s:v>49</s:v>
      </s:c>
      <s:c r="G30" s="19" t="str">
        <s:f t="array" ref="G30">IFERROR(INDEX(Setup!$B$10:$B$13,MATCH(F30,Setup!$A$10:$A$13,0)),"")</s:f>
        <s:v>Marcel Luther Sitorus</s:v>
      </s:c>
      <s:c r="H30" s="15" t="s">
        <s:v>59</s:v>
      </s:c>
      <s:c r="I30" s="15">
        <s:v>2.0</s:v>
      </s:c>
      <s:c r="J30" s="15">
        <s:v>3.0</s:v>
      </s:c>
      <s:c r="K30" s="25">
        <s:f>Setup!$B$4+I30-1</s:f>
        <s:v>46316</s:v>
      </s:c>
      <s:c r="L30" s="25">
        <s:f>Setup!$B$4+J30-1</s:f>
        <s:v>46317</s:v>
      </s:c>
      <s:c r="M30" s="15" t="s">
        <s:v>70</s:v>
      </s:c>
      <s:c r="N30" s="15">
        <s:v>3.0</s:v>
      </s:c>
      <s:c r="O30" s="27" t="s">
        <s:v>17</s:v>
      </s:c>
      <s:c r="P30" s="29">
        <s:f t="array" ref="P30">IFERROR(INDEX(Setup!$B$17:$B$20,MATCH(O30,Setup!$A$17:$A$20,0)),0)</s:f>
        <s:v>0</s:v>
      </s:c>
      <s:c r="Q30" s="15" t="s">
        <s:v>208</s:v>
      </s:c>
      <s:c r="R30" s="19"/>
      <s:c r="S30" s="15" t="str">
        <s:f t="shared" si="1"/>
        <s:v/>
      </s:c>
      <s:c r="T30" s="15" t="str">
        <s:f t="shared" si="2"/>
        <s:v>■</s:v>
      </s:c>
      <s:c r="U30" s="15" t="str">
        <s:f t="shared" si="3"/>
        <s:v>■</s:v>
      </s:c>
      <s:c r="V30" s="15" t="str">
        <s:f t="shared" si="4"/>
        <s:v/>
      </s:c>
      <s:c r="W30" s="15" t="str">
        <s:f t="shared" si="5"/>
        <s:v/>
      </s:c>
      <s:c r="X30" s="15" t="str">
        <s:f t="shared" si="6"/>
        <s:v/>
      </s:c>
      <s:c r="Y30" s="15" t="str">
        <s:f t="shared" si="7"/>
        <s:v/>
      </s:c>
    </s:row>
    <s:row r="31" ht="57.75" customHeight="1">
      <s:c r="A31" s="15" t="s">
        <s:v>216</s:v>
      </s:c>
      <s:c r="B31" s="15" t="s">
        <s:v>81</s:v>
      </s:c>
      <s:c r="C31" s="17" t="s">
        <s:v>217</s:v>
      </s:c>
      <s:c r="D31" s="19" t="s">
        <s:v>218</s:v>
      </s:c>
      <s:c r="E31" s="19" t="s">
        <s:v>219</s:v>
      </s:c>
      <s:c r="F31" s="15" t="s">
        <s:v>59</s:v>
      </s:c>
      <s:c r="G31" s="19" t="str">
        <s:f t="array" ref="G31">IFERROR(INDEX(Setup!$B$10:$B$13,MATCH(F31,Setup!$A$10:$A$13,0)),"")</s:f>
        <s:v>Mahatma Brahmana</s:v>
      </s:c>
      <s:c r="H31" s="15" t="s">
        <s:v>49</s:v>
      </s:c>
      <s:c r="I31" s="15">
        <s:v>2.0</s:v>
      </s:c>
      <s:c r="J31" s="15">
        <s:v>3.0</s:v>
      </s:c>
      <s:c r="K31" s="25">
        <s:f>Setup!$B$4+I31-1</s:f>
        <s:v>46316</s:v>
      </s:c>
      <s:c r="L31" s="25">
        <s:f>Setup!$B$4+J31-1</s:f>
        <s:v>46317</s:v>
      </s:c>
      <s:c r="M31" s="15" t="s">
        <s:v>70</s:v>
      </s:c>
      <s:c r="N31" s="15">
        <s:v>4.0</s:v>
      </s:c>
      <s:c r="O31" s="27" t="s">
        <s:v>17</s:v>
      </s:c>
      <s:c r="P31" s="29">
        <s:f t="array" ref="P31">IFERROR(INDEX(Setup!$B$17:$B$20,MATCH(O31,Setup!$A$17:$A$20,0)),0)</s:f>
        <s:v>0</s:v>
      </s:c>
      <s:c r="Q31" s="15" t="s">
        <s:v>196</s:v>
      </s:c>
      <s:c r="R31" s="19"/>
      <s:c r="S31" s="15" t="str">
        <s:f t="shared" si="1"/>
        <s:v/>
      </s:c>
      <s:c r="T31" s="15" t="str">
        <s:f t="shared" si="2"/>
        <s:v>■</s:v>
      </s:c>
      <s:c r="U31" s="15" t="str">
        <s:f t="shared" si="3"/>
        <s:v>■</s:v>
      </s:c>
      <s:c r="V31" s="15" t="str">
        <s:f t="shared" si="4"/>
        <s:v/>
      </s:c>
      <s:c r="W31" s="15" t="str">
        <s:f t="shared" si="5"/>
        <s:v/>
      </s:c>
      <s:c r="X31" s="15" t="str">
        <s:f t="shared" si="6"/>
        <s:v/>
      </s:c>
      <s:c r="Y31" s="15" t="str">
        <s:f t="shared" si="7"/>
        <s:v/>
      </s:c>
    </s:row>
    <s:row r="32" ht="44.25" customHeight="1">
      <s:c r="A32" s="15" t="s">
        <s:v>220</s:v>
      </s:c>
      <s:c r="B32" s="15" t="s">
        <s:v>81</s:v>
      </s:c>
      <s:c r="C32" s="17" t="s">
        <s:v>221</s:v>
      </s:c>
      <s:c r="D32" s="19" t="s">
        <s:v>222</s:v>
      </s:c>
      <s:c r="E32" s="19" t="s">
        <s:v>223</s:v>
      </s:c>
      <s:c r="F32" s="15" t="s">
        <s:v>49</s:v>
      </s:c>
      <s:c r="G32" s="19" t="str">
        <s:f t="array" ref="G32">IFERROR(INDEX(Setup!$B$10:$B$13,MATCH(F32,Setup!$A$10:$A$13,0)),"")</s:f>
        <s:v>Marcel Luther Sitorus</s:v>
      </s:c>
      <s:c r="H32" s="15" t="s">
        <s:v>56</s:v>
      </s:c>
      <s:c r="I32" s="15">
        <s:v>3.0</s:v>
      </s:c>
      <s:c r="J32" s="15">
        <s:v>4.0</s:v>
      </s:c>
      <s:c r="K32" s="25">
        <s:f>Setup!$B$4+I32-1</s:f>
        <s:v>46317</s:v>
      </s:c>
      <s:c r="L32" s="25">
        <s:f>Setup!$B$4+J32-1</s:f>
        <s:v>46318</s:v>
      </s:c>
      <s:c r="M32" s="15" t="s">
        <s:v>70</s:v>
      </s:c>
      <s:c r="N32" s="15">
        <s:v>5.0</s:v>
      </s:c>
      <s:c r="O32" s="27" t="s">
        <s:v>17</s:v>
      </s:c>
      <s:c r="P32" s="29">
        <s:f t="array" ref="P32">IFERROR(INDEX(Setup!$B$17:$B$20,MATCH(O32,Setup!$A$17:$A$20,0)),0)</s:f>
        <s:v>0</s:v>
      </s:c>
      <s:c r="Q32" s="15" t="s">
        <s:v>216</s:v>
      </s:c>
      <s:c r="R32" s="19"/>
      <s:c r="S32" s="15" t="str">
        <s:f t="shared" si="1"/>
        <s:v/>
      </s:c>
      <s:c r="T32" s="15" t="str">
        <s:f t="shared" si="2"/>
        <s:v/>
      </s:c>
      <s:c r="U32" s="15" t="str">
        <s:f t="shared" si="3"/>
        <s:v>■</s:v>
      </s:c>
      <s:c r="V32" s="15" t="str">
        <s:f t="shared" si="4"/>
        <s:v>■</s:v>
      </s:c>
      <s:c r="W32" s="15" t="str">
        <s:f t="shared" si="5"/>
        <s:v/>
      </s:c>
      <s:c r="X32" s="15" t="str">
        <s:f t="shared" si="6"/>
        <s:v/>
      </s:c>
      <s:c r="Y32" s="15" t="str">
        <s:f t="shared" si="7"/>
        <s:v/>
      </s:c>
    </s:row>
    <s:row r="33" ht="44.25" customHeight="1">
      <s:c r="A33" s="15" t="s">
        <s:v>224</s:v>
      </s:c>
      <s:c r="B33" s="15" t="s">
        <s:v>81</s:v>
      </s:c>
      <s:c r="C33" s="17" t="s">
        <s:v>225</s:v>
      </s:c>
      <s:c r="D33" s="19" t="s">
        <s:v>226</s:v>
      </s:c>
      <s:c r="E33" s="19" t="s">
        <s:v>227</s:v>
      </s:c>
      <s:c r="F33" s="15" t="s">
        <s:v>62</s:v>
      </s:c>
      <s:c r="G33" s="19" t="str">
        <s:f t="array" ref="G33">IFERROR(INDEX(Setup!$B$10:$B$13,MATCH(F33,Setup!$A$10:$A$13,0)),"")</s:f>
        <s:v>Ishak Palentino Napitupulu</s:v>
      </s:c>
      <s:c r="H33" s="15" t="s">
        <s:v>228</s:v>
      </s:c>
      <s:c r="I33" s="15">
        <s:v>3.0</s:v>
      </s:c>
      <s:c r="J33" s="15">
        <s:v>5.0</s:v>
      </s:c>
      <s:c r="K33" s="25">
        <s:f>Setup!$B$4+I33-1</s:f>
        <s:v>46317</s:v>
      </s:c>
      <s:c r="L33" s="25">
        <s:f>Setup!$B$4+J33-1</s:f>
        <s:v>46319</s:v>
      </s:c>
      <s:c r="M33" s="15" t="s">
        <s:v>70</s:v>
      </s:c>
      <s:c r="N33" s="15">
        <s:v>7.0</s:v>
      </s:c>
      <s:c r="O33" s="27" t="s">
        <s:v>17</s:v>
      </s:c>
      <s:c r="P33" s="29">
        <s:f t="array" ref="P33">IFERROR(INDEX(Setup!$B$17:$B$20,MATCH(O33,Setup!$A$17:$A$20,0)),0)</s:f>
        <s:v>0</s:v>
      </s:c>
      <s:c r="Q33" s="15" t="s">
        <s:v>229</s:v>
      </s:c>
      <s:c r="R33" s="19"/>
      <s:c r="S33" s="15" t="str">
        <s:f t="shared" si="1"/>
        <s:v/>
      </s:c>
      <s:c r="T33" s="15" t="str">
        <s:f t="shared" si="2"/>
        <s:v/>
      </s:c>
      <s:c r="U33" s="15" t="str">
        <s:f t="shared" si="3"/>
        <s:v>■</s:v>
      </s:c>
      <s:c r="V33" s="15" t="str">
        <s:f t="shared" si="4"/>
        <s:v>■</s:v>
      </s:c>
      <s:c r="W33" s="15" t="str">
        <s:f t="shared" si="5"/>
        <s:v>■</s:v>
      </s:c>
      <s:c r="X33" s="15" t="str">
        <s:f t="shared" si="6"/>
        <s:v/>
      </s:c>
      <s:c r="Y33" s="15" t="str">
        <s:f t="shared" si="7"/>
        <s:v/>
      </s:c>
    </s:row>
    <s:row r="34" ht="57.75" customHeight="1">
      <s:c r="A34" s="15" t="s">
        <s:v>230</s:v>
      </s:c>
      <s:c r="B34" s="15" t="s">
        <s:v>81</s:v>
      </s:c>
      <s:c r="C34" s="17" t="s">
        <s:v>231</s:v>
      </s:c>
      <s:c r="D34" s="19" t="s">
        <s:v>232</s:v>
      </s:c>
      <s:c r="E34" s="19" t="s">
        <s:v>233</s:v>
      </s:c>
      <s:c r="F34" s="15" t="s">
        <s:v>59</s:v>
      </s:c>
      <s:c r="G34" s="19" t="str">
        <s:f t="array" ref="G34">IFERROR(INDEX(Setup!$B$10:$B$13,MATCH(F34,Setup!$A$10:$A$13,0)),"")</s:f>
        <s:v>Mahatma Brahmana</s:v>
      </s:c>
      <s:c r="H34" s="15" t="s">
        <s:v>56</s:v>
      </s:c>
      <s:c r="I34" s="15">
        <s:v>4.0</s:v>
      </s:c>
      <s:c r="J34" s="15">
        <s:v>5.0</s:v>
      </s:c>
      <s:c r="K34" s="25">
        <s:f>Setup!$B$4+I34-1</s:f>
        <s:v>46318</s:v>
      </s:c>
      <s:c r="L34" s="25">
        <s:f>Setup!$B$4+J34-1</s:f>
        <s:v>46319</s:v>
      </s:c>
      <s:c r="M34" s="15" t="s">
        <s:v>70</s:v>
      </s:c>
      <s:c r="N34" s="15">
        <s:v>5.0</s:v>
      </s:c>
      <s:c r="O34" s="27" t="s">
        <s:v>17</s:v>
      </s:c>
      <s:c r="P34" s="29">
        <s:f t="array" ref="P34">IFERROR(INDEX(Setup!$B$17:$B$20,MATCH(O34,Setup!$A$17:$A$20,0)),0)</s:f>
        <s:v>0</s:v>
      </s:c>
      <s:c r="Q34" s="15" t="s">
        <s:v>234</s:v>
      </s:c>
      <s:c r="R34" s="19"/>
      <s:c r="S34" s="15" t="str">
        <s:f t="shared" si="1"/>
        <s:v/>
      </s:c>
      <s:c r="T34" s="15" t="str">
        <s:f t="shared" si="2"/>
        <s:v/>
      </s:c>
      <s:c r="U34" s="15" t="str">
        <s:f t="shared" si="3"/>
        <s:v/>
      </s:c>
      <s:c r="V34" s="15" t="str">
        <s:f t="shared" si="4"/>
        <s:v>■</s:v>
      </s:c>
      <s:c r="W34" s="15" t="str">
        <s:f t="shared" si="5"/>
        <s:v>■</s:v>
      </s:c>
      <s:c r="X34" s="15" t="str">
        <s:f t="shared" si="6"/>
        <s:v/>
      </s:c>
      <s:c r="Y34" s="15" t="str">
        <s:f t="shared" si="7"/>
        <s:v/>
      </s:c>
    </s:row>
    <s:row r="35" ht="57.75" customHeight="1">
      <s:c r="A35" s="15" t="s">
        <s:v>235</s:v>
      </s:c>
      <s:c r="B35" s="15" t="s">
        <s:v>81</s:v>
      </s:c>
      <s:c r="C35" s="17" t="s">
        <s:v>236</s:v>
      </s:c>
      <s:c r="D35" s="19" t="s">
        <s:v>237</s:v>
      </s:c>
      <s:c r="E35" s="19" t="s">
        <s:v>238</s:v>
      </s:c>
      <s:c r="F35" s="15" t="s">
        <s:v>49</s:v>
      </s:c>
      <s:c r="G35" s="19" t="str">
        <s:f t="array" ref="G35">IFERROR(INDEX(Setup!$B$10:$B$13,MATCH(F35,Setup!$A$10:$A$13,0)),"")</s:f>
        <s:v>Marcel Luther Sitorus</s:v>
      </s:c>
      <s:c r="H35" s="15" t="s">
        <s:v>185</s:v>
      </s:c>
      <s:c r="I35" s="15">
        <s:v>5.0</s:v>
      </s:c>
      <s:c r="J35" s="15">
        <s:v>5.0</s:v>
      </s:c>
      <s:c r="K35" s="25">
        <s:f>Setup!$B$4+I35-1</s:f>
        <s:v>46319</s:v>
      </s:c>
      <s:c r="L35" s="25">
        <s:f>Setup!$B$4+J35-1</s:f>
        <s:v>46319</s:v>
      </s:c>
      <s:c r="M35" s="15" t="s">
        <s:v>70</s:v>
      </s:c>
      <s:c r="N35" s="15">
        <s:v>5.0</s:v>
      </s:c>
      <s:c r="O35" s="27" t="s">
        <s:v>17</s:v>
      </s:c>
      <s:c r="P35" s="29">
        <s:f t="array" ref="P35">IFERROR(INDEX(Setup!$B$17:$B$20,MATCH(O35,Setup!$A$17:$A$20,0)),0)</s:f>
        <s:v>0</s:v>
      </s:c>
      <s:c r="Q35" s="15" t="s">
        <s:v>220</s:v>
      </s:c>
      <s:c r="R35" s="19"/>
      <s:c r="S35" s="15" t="str">
        <s:f t="shared" si="1"/>
        <s:v/>
      </s:c>
      <s:c r="T35" s="15" t="str">
        <s:f t="shared" si="2"/>
        <s:v/>
      </s:c>
      <s:c r="U35" s="15" t="str">
        <s:f t="shared" si="3"/>
        <s:v/>
      </s:c>
      <s:c r="V35" s="15" t="str">
        <s:f t="shared" si="4"/>
        <s:v/>
      </s:c>
      <s:c r="W35" s="15" t="str">
        <s:f t="shared" si="5"/>
        <s:v>■</s:v>
      </s:c>
      <s:c r="X35" s="15" t="str">
        <s:f t="shared" si="6"/>
        <s:v/>
      </s:c>
      <s:c r="Y35" s="15" t="str">
        <s:f t="shared" si="7"/>
        <s:v/>
      </s:c>
    </s:row>
    <s:row r="36" ht="30.75" customHeight="1">
      <s:c r="A36" s="15" t="s">
        <s:v>239</s:v>
      </s:c>
      <s:c r="B36" s="15" t="s">
        <s:v>81</s:v>
      </s:c>
      <s:c r="C36" s="17" t="s">
        <s:v>240</s:v>
      </s:c>
      <s:c r="D36" s="19" t="s">
        <s:v>241</s:v>
      </s:c>
      <s:c r="E36" s="19" t="s">
        <s:v>242</s:v>
      </s:c>
      <s:c r="F36" s="15" t="s">
        <s:v>49</s:v>
      </s:c>
      <s:c r="G36" s="19" t="str">
        <s:f t="array" ref="G36">IFERROR(INDEX(Setup!$B$10:$B$13,MATCH(F36,Setup!$A$10:$A$13,0)),"")</s:f>
        <s:v>Marcel Luther Sitorus</s:v>
      </s:c>
      <s:c r="H36" s="15" t="s">
        <s:v>62</s:v>
      </s:c>
      <s:c r="I36" s="15">
        <s:v>5.0</s:v>
      </s:c>
      <s:c r="J36" s="15">
        <s:v>5.0</s:v>
      </s:c>
      <s:c r="K36" s="25">
        <s:f>Setup!$B$4+I36-1</s:f>
        <s:v>46319</s:v>
      </s:c>
      <s:c r="L36" s="25">
        <s:f>Setup!$B$4+J36-1</s:f>
        <s:v>46319</s:v>
      </s:c>
      <s:c r="M36" s="15" t="s">
        <s:v>70</s:v>
      </s:c>
      <s:c r="N36" s="15">
        <s:v>2.0</s:v>
      </s:c>
      <s:c r="O36" s="27" t="s">
        <s:v>17</s:v>
      </s:c>
      <s:c r="P36" s="29">
        <s:f t="array" ref="P36">IFERROR(INDEX(Setup!$B$17:$B$20,MATCH(O36,Setup!$A$17:$A$20,0)),0)</s:f>
        <s:v>0</s:v>
      </s:c>
      <s:c r="Q36" s="15" t="s">
        <s:v>200</s:v>
      </s:c>
      <s:c r="R36" s="19"/>
      <s:c r="S36" s="15" t="str">
        <s:f t="shared" si="1"/>
        <s:v/>
      </s:c>
      <s:c r="T36" s="15" t="str">
        <s:f t="shared" si="2"/>
        <s:v/>
      </s:c>
      <s:c r="U36" s="15" t="str">
        <s:f t="shared" si="3"/>
        <s:v/>
      </s:c>
      <s:c r="V36" s="15" t="str">
        <s:f t="shared" si="4"/>
        <s:v/>
      </s:c>
      <s:c r="W36" s="15" t="str">
        <s:f t="shared" si="5"/>
        <s:v>■</s:v>
      </s:c>
      <s:c r="X36" s="15" t="str">
        <s:f t="shared" si="6"/>
        <s:v/>
      </s:c>
      <s:c r="Y36" s="15" t="str">
        <s:f t="shared" si="7"/>
        <s:v/>
      </s:c>
    </s:row>
    <s:row r="37" ht="44.25" customHeight="1">
      <s:c r="A37" s="15" t="s">
        <s:v>243</s:v>
      </s:c>
      <s:c r="B37" s="15" t="s">
        <s:v>81</s:v>
      </s:c>
      <s:c r="C37" s="17" t="s">
        <s:v>244</s:v>
      </s:c>
      <s:c r="D37" s="19" t="s">
        <s:v>245</s:v>
      </s:c>
      <s:c r="E37" s="19" t="s">
        <s:v>246</s:v>
      </s:c>
      <s:c r="F37" s="15" t="s">
        <s:v>49</s:v>
      </s:c>
      <s:c r="G37" s="19" t="str">
        <s:f t="array" ref="G37">IFERROR(INDEX(Setup!$B$10:$B$13,MATCH(F37,Setup!$A$10:$A$13,0)),"")</s:f>
        <s:v>Marcel Luther Sitorus</s:v>
      </s:c>
      <s:c r="H37" s="15" t="s">
        <s:v>59</s:v>
      </s:c>
      <s:c r="I37" s="15">
        <s:v>5.0</s:v>
      </s:c>
      <s:c r="J37" s="15">
        <s:v>6.0</s:v>
      </s:c>
      <s:c r="K37" s="25">
        <s:f>Setup!$B$4+I37-1</s:f>
        <s:v>46319</s:v>
      </s:c>
      <s:c r="L37" s="25">
        <s:f>Setup!$B$4+J37-1</s:f>
        <s:v>46320</s:v>
      </s:c>
      <s:c r="M37" s="15" t="s">
        <s:v>70</s:v>
      </s:c>
      <s:c r="N37" s="15">
        <s:v>3.0</s:v>
      </s:c>
      <s:c r="O37" s="27" t="s">
        <s:v>17</s:v>
      </s:c>
      <s:c r="P37" s="29">
        <s:f t="array" ref="P37">IFERROR(INDEX(Setup!$B$17:$B$20,MATCH(O37,Setup!$A$17:$A$20,0)),0)</s:f>
        <s:v>0</s:v>
      </s:c>
      <s:c r="Q37" s="15" t="s">
        <s:v>247</s:v>
      </s:c>
      <s:c r="R37" s="19"/>
      <s:c r="S37" s="15" t="str">
        <s:f t="shared" si="1"/>
        <s:v/>
      </s:c>
      <s:c r="T37" s="15" t="str">
        <s:f t="shared" si="2"/>
        <s:v/>
      </s:c>
      <s:c r="U37" s="15" t="str">
        <s:f t="shared" si="3"/>
        <s:v/>
      </s:c>
      <s:c r="V37" s="15" t="str">
        <s:f t="shared" si="4"/>
        <s:v/>
      </s:c>
      <s:c r="W37" s="15" t="str">
        <s:f t="shared" si="5"/>
        <s:v>■</s:v>
      </s:c>
      <s:c r="X37" s="15" t="str">
        <s:f t="shared" si="6"/>
        <s:v>■</s:v>
      </s:c>
      <s:c r="Y37" s="15" t="str">
        <s:f t="shared" si="7"/>
        <s:v/>
      </s:c>
    </s:row>
    <s:row r="38" ht="44.25" customHeight="1">
      <s:c r="A38" s="15" t="s">
        <s:v>248</s:v>
      </s:c>
      <s:c r="B38" s="15" t="s">
        <s:v>81</s:v>
      </s:c>
      <s:c r="C38" s="17" t="s">
        <s:v>249</s:v>
      </s:c>
      <s:c r="D38" s="19" t="s">
        <s:v>250</s:v>
      </s:c>
      <s:c r="E38" s="19" t="s">
        <s:v>251</s:v>
      </s:c>
      <s:c r="F38" s="15" t="s">
        <s:v>62</s:v>
      </s:c>
      <s:c r="G38" s="19" t="str">
        <s:f t="array" ref="G38">IFERROR(INDEX(Setup!$B$10:$B$13,MATCH(F38,Setup!$A$10:$A$13,0)),"")</s:f>
        <s:v>Ishak Palentino Napitupulu</s:v>
      </s:c>
      <s:c r="H38" s="15" t="s">
        <s:v>49</s:v>
      </s:c>
      <s:c r="I38" s="15">
        <s:v>5.0</s:v>
      </s:c>
      <s:c r="J38" s="15">
        <s:v>6.0</s:v>
      </s:c>
      <s:c r="K38" s="25">
        <s:f>Setup!$B$4+I38-1</s:f>
        <s:v>46319</s:v>
      </s:c>
      <s:c r="L38" s="25">
        <s:f>Setup!$B$4+J38-1</s:f>
        <s:v>46320</s:v>
      </s:c>
      <s:c r="M38" s="15" t="s">
        <s:v>70</s:v>
      </s:c>
      <s:c r="N38" s="15">
        <s:v>4.0</s:v>
      </s:c>
      <s:c r="O38" s="27" t="s">
        <s:v>17</s:v>
      </s:c>
      <s:c r="P38" s="29">
        <s:f t="array" ref="P38">IFERROR(INDEX(Setup!$B$17:$B$20,MATCH(O38,Setup!$A$17:$A$20,0)),0)</s:f>
        <s:v>0</s:v>
      </s:c>
      <s:c r="Q38" s="15" t="s">
        <s:v>252</s:v>
      </s:c>
      <s:c r="R38" s="19"/>
      <s:c r="S38" s="15" t="str">
        <s:f t="shared" si="1"/>
        <s:v/>
      </s:c>
      <s:c r="T38" s="15" t="str">
        <s:f t="shared" si="2"/>
        <s:v/>
      </s:c>
      <s:c r="U38" s="15" t="str">
        <s:f t="shared" si="3"/>
        <s:v/>
      </s:c>
      <s:c r="V38" s="15" t="str">
        <s:f t="shared" si="4"/>
        <s:v/>
      </s:c>
      <s:c r="W38" s="15" t="str">
        <s:f t="shared" si="5"/>
        <s:v>■</s:v>
      </s:c>
      <s:c r="X38" s="15" t="str">
        <s:f t="shared" si="6"/>
        <s:v>■</s:v>
      </s:c>
      <s:c r="Y38" s="15" t="str">
        <s:f t="shared" si="7"/>
        <s:v/>
      </s:c>
    </s:row>
    <s:row r="39" ht="44.25" customHeight="1">
      <s:c r="A39" s="15" t="s">
        <s:v>253</s:v>
      </s:c>
      <s:c r="B39" s="15" t="s">
        <s:v>81</s:v>
      </s:c>
      <s:c r="C39" s="17" t="s">
        <s:v>254</s:v>
      </s:c>
      <s:c r="D39" s="19" t="s">
        <s:v>255</s:v>
      </s:c>
      <s:c r="E39" s="19" t="s">
        <s:v>256</s:v>
      </s:c>
      <s:c r="F39" s="15" t="s">
        <s:v>56</s:v>
      </s:c>
      <s:c r="G39" s="19" t="str">
        <s:f t="array" ref="G39">IFERROR(INDEX(Setup!$B$10:$B$13,MATCH(F39,Setup!$A$10:$A$13,0)),"")</s:f>
        <s:v>Audric Yusuf Maynard Simatupang</s:v>
      </s:c>
      <s:c r="H39" s="15" t="s">
        <s:v>185</s:v>
      </s:c>
      <s:c r="I39" s="15">
        <s:v>6.0</s:v>
      </s:c>
      <s:c r="J39" s="15">
        <s:v>6.0</s:v>
      </s:c>
      <s:c r="K39" s="25">
        <s:f>Setup!$B$4+I39-1</s:f>
        <s:v>46320</s:v>
      </s:c>
      <s:c r="L39" s="25">
        <s:f>Setup!$B$4+J39-1</s:f>
        <s:v>46320</s:v>
      </s:c>
      <s:c r="M39" s="15" t="s">
        <s:v>70</s:v>
      </s:c>
      <s:c r="N39" s="15">
        <s:v>3.0</s:v>
      </s:c>
      <s:c r="O39" s="27" t="inlineStr">
        <s:is>
          <s:t>In progress</s:t>
        </s:is>
      </s:c>
      <s:c r="P39" s="29">
        <s:f t="array" ref="P39">IFERROR(INDEX(Setup!$B$17:$B$20,MATCH(O39,Setup!$A$17:$A$20,0)),0)</s:f>
        <s:v>0</s:v>
      </s:c>
      <s:c r="Q39" s="15" t="s">
        <s:v>248</s:v>
      </s:c>
      <s:c r="R39" s="19" t="inlineStr">
        <s:is>
          <s:t>2026-10-27 (Asia/Jakarta): Completed preliminary-PDF rubric review: internal 62/100 with prioritized fixes in docs/proposal/audric-peer-review.md. Final P14 acceptance awaits the P13 assembled full draft.</s:t>
        </s:is>
      </s:c>
      <s:c r="S39" s="15" t="str">
        <s:f t="shared" si="1"/>
        <s:v/>
      </s:c>
      <s:c r="T39" s="15" t="str">
        <s:f t="shared" si="2"/>
        <s:v/>
      </s:c>
      <s:c r="U39" s="15" t="str">
        <s:f t="shared" si="3"/>
        <s:v/>
      </s:c>
      <s:c r="V39" s="15" t="str">
        <s:f t="shared" si="4"/>
        <s:v/>
      </s:c>
      <s:c r="W39" s="15" t="str">
        <s:f t="shared" si="5"/>
        <s:v/>
      </s:c>
      <s:c r="X39" s="15" t="str">
        <s:f t="shared" si="6"/>
        <s:v>■</s:v>
      </s:c>
      <s:c r="Y39" s="15" t="str">
        <s:f t="shared" si="7"/>
        <s:v/>
      </s:c>
    </s:row>
    <s:row r="40" ht="44.25" customHeight="1">
      <s:c r="A40" s="15" t="s">
        <s:v>257</s:v>
      </s:c>
      <s:c r="B40" s="15" t="s">
        <s:v>81</s:v>
      </s:c>
      <s:c r="C40" s="17" t="s">
        <s:v>258</s:v>
      </s:c>
      <s:c r="D40" s="19" t="s">
        <s:v>259</s:v>
      </s:c>
      <s:c r="E40" s="19" t="s">
        <s:v>260</s:v>
      </s:c>
      <s:c r="F40" s="15" t="s">
        <s:v>49</s:v>
      </s:c>
      <s:c r="G40" s="19" t="str">
        <s:f t="array" ref="G40">IFERROR(INDEX(Setup!$B$10:$B$13,MATCH(F40,Setup!$A$10:$A$13,0)),"")</s:f>
        <s:v>Marcel Luther Sitorus</s:v>
      </s:c>
      <s:c r="H40" s="15" t="s">
        <s:v>62</s:v>
      </s:c>
      <s:c r="I40" s="15">
        <s:v>7.0</s:v>
      </s:c>
      <s:c r="J40" s="15">
        <s:v>7.0</s:v>
      </s:c>
      <s:c r="K40" s="25">
        <s:f>Setup!$B$4+I40-1</s:f>
        <s:v>46321</s:v>
      </s:c>
      <s:c r="L40" s="25">
        <s:f>Setup!$B$4+J40-1</s:f>
        <s:v>46321</s:v>
      </s:c>
      <s:c r="M40" s="15" t="s">
        <s:v>70</s:v>
      </s:c>
      <s:c r="N40" s="15">
        <s:v>3.0</s:v>
      </s:c>
      <s:c r="O40" s="27" t="s">
        <s:v>17</s:v>
      </s:c>
      <s:c r="P40" s="29">
        <s:f t="array" ref="P40">IFERROR(INDEX(Setup!$B$17:$B$20,MATCH(O40,Setup!$A$17:$A$20,0)),0)</s:f>
        <s:v>0</s:v>
      </s:c>
      <s:c r="Q40" s="15" t="s">
        <s:v>253</s:v>
      </s:c>
      <s:c r="R40" s="19"/>
      <s:c r="S40" s="15" t="str">
        <s:f t="shared" si="1"/>
        <s:v/>
      </s:c>
      <s:c r="T40" s="15" t="str">
        <s:f t="shared" si="2"/>
        <s:v/>
      </s:c>
      <s:c r="U40" s="15" t="str">
        <s:f t="shared" si="3"/>
        <s:v/>
      </s:c>
      <s:c r="V40" s="15" t="str">
        <s:f t="shared" si="4"/>
        <s:v/>
      </s:c>
      <s:c r="W40" s="15" t="str">
        <s:f t="shared" si="5"/>
        <s:v/>
      </s:c>
      <s:c r="X40" s="15" t="str">
        <s:f t="shared" si="6"/>
        <s:v/>
      </s:c>
      <s:c r="Y40" s="15" t="str">
        <s:f t="shared" si="7"/>
        <s:v>■</s:v>
      </s:c>
    </s:row>
    <s:row r="41" ht="15.75" customHeight="1">
      <s:c r="F41" s="34"/>
      <s:c r="M41" s="34"/>
      <s:c r="O41" s="34"/>
    </s:row>
    <s:row r="42" ht="15.75" customHeight="1">
      <s:c r="F42" s="34"/>
      <s:c r="M42" s="34"/>
      <s:c r="O42" s="34"/>
    </s:row>
    <s:row r="43" ht="15.75" customHeight="1">
      <s:c r="F43" s="34"/>
      <s:c r="M43" s="34"/>
      <s:c r="O43" s="34"/>
    </s:row>
    <s:row r="44" ht="15.75" customHeight="1">
      <s:c r="F44" s="34"/>
      <s:c r="M44" s="34"/>
      <s:c r="O44" s="34"/>
    </s:row>
    <s:row r="45" ht="15.75" customHeight="1">
      <s:c r="F45" s="34"/>
      <s:c r="M45" s="34"/>
      <s:c r="O45" s="34"/>
    </s:row>
    <s:row r="46" ht="15.75" customHeight="1">
      <s:c r="F46" s="34"/>
      <s:c r="M46" s="34"/>
      <s:c r="O46" s="34"/>
    </s:row>
    <s:row r="47" ht="15.75" customHeight="1">
      <s:c r="F47" s="34"/>
      <s:c r="M47" s="34"/>
      <s:c r="O47" s="34"/>
    </s:row>
    <s:row r="48" ht="15.75" customHeight="1">
      <s:c r="F48" s="34"/>
      <s:c r="M48" s="34"/>
      <s:c r="O48" s="34"/>
    </s:row>
    <s:row r="49" ht="15.75" customHeight="1">
      <s:c r="F49" s="34"/>
      <s:c r="M49" s="34"/>
      <s:c r="O49" s="34"/>
    </s:row>
    <s:row r="50" ht="15.75" customHeight="1">
      <s:c r="F50" s="34"/>
      <s:c r="M50" s="34"/>
      <s:c r="O50" s="34"/>
    </s:row>
    <s:row r="51" ht="15.75" customHeight="1">
      <s:c r="F51" s="34"/>
      <s:c r="M51" s="34"/>
      <s:c r="O51" s="34"/>
    </s:row>
    <s:row r="52" ht="15.75" customHeight="1">
      <s:c r="F52" s="34"/>
      <s:c r="M52" s="34"/>
      <s:c r="O52" s="34"/>
    </s:row>
    <s:row r="53" ht="15.75" customHeight="1">
      <s:c r="F53" s="34"/>
      <s:c r="M53" s="34"/>
      <s:c r="O53" s="34"/>
    </s:row>
    <s:row r="54" ht="15.75" customHeight="1">
      <s:c r="F54" s="34"/>
      <s:c r="M54" s="34"/>
      <s:c r="O54" s="34"/>
    </s:row>
    <s:row r="55" ht="15.75" customHeight="1">
      <s:c r="F55" s="34"/>
      <s:c r="M55" s="34"/>
      <s:c r="O55" s="34"/>
    </s:row>
    <s:row r="56" ht="15.75" customHeight="1">
      <s:c r="F56" s="34"/>
      <s:c r="M56" s="34"/>
      <s:c r="O56" s="34"/>
    </s:row>
    <s:row r="57" ht="15.75" customHeight="1">
      <s:c r="F57" s="34"/>
      <s:c r="M57" s="34"/>
      <s:c r="O57" s="34"/>
    </s:row>
    <s:row r="58" ht="15.75" customHeight="1">
      <s:c r="F58" s="34"/>
      <s:c r="M58" s="34"/>
      <s:c r="O58" s="34"/>
    </s:row>
    <s:row r="59" ht="15.75" customHeight="1">
      <s:c r="F59" s="34"/>
      <s:c r="M59" s="34"/>
      <s:c r="O59" s="34"/>
    </s:row>
    <s:row r="60" ht="15.75" customHeight="1">
      <s:c r="F60" s="34"/>
      <s:c r="M60" s="34"/>
      <s:c r="O60" s="34"/>
    </s:row>
    <s:row r="61" ht="15.75" customHeight="1">
      <s:c r="F61" s="34"/>
      <s:c r="M61" s="34"/>
      <s:c r="O61" s="34"/>
    </s:row>
    <s:row r="62" ht="15.75" customHeight="1">
      <s:c r="F62" s="34"/>
      <s:c r="M62" s="34"/>
      <s:c r="O62" s="34"/>
    </s:row>
    <s:row r="63" ht="15.75" customHeight="1">
      <s:c r="F63" s="34"/>
      <s:c r="M63" s="34"/>
      <s:c r="O63" s="34"/>
    </s:row>
    <s:row r="64" ht="15.75" customHeight="1">
      <s:c r="F64" s="34"/>
      <s:c r="M64" s="34"/>
      <s:c r="O64" s="34"/>
    </s:row>
    <s:row r="65" ht="15.75" customHeight="1">
      <s:c r="F65" s="34"/>
      <s:c r="M65" s="34"/>
      <s:c r="O65" s="34"/>
    </s:row>
    <s:row r="66" ht="15.75" customHeight="1">
      <s:c r="F66" s="34"/>
      <s:c r="M66" s="34"/>
      <s:c r="O66" s="34"/>
    </s:row>
    <s:row r="67" ht="15.75" customHeight="1">
      <s:c r="F67" s="34"/>
      <s:c r="M67" s="34"/>
      <s:c r="O67" s="34"/>
    </s:row>
    <s:row r="68" ht="15.75" customHeight="1">
      <s:c r="F68" s="34"/>
      <s:c r="M68" s="34"/>
      <s:c r="O68" s="34"/>
    </s:row>
    <s:row r="69" ht="15.75" customHeight="1">
      <s:c r="F69" s="34"/>
      <s:c r="M69" s="34"/>
      <s:c r="O69" s="34"/>
    </s:row>
    <s:row r="70" ht="15.75" customHeight="1">
      <s:c r="F70" s="34"/>
      <s:c r="M70" s="34"/>
      <s:c r="O70" s="34"/>
    </s:row>
    <s:row r="71" ht="15.75" customHeight="1">
      <s:c r="F71" s="34"/>
      <s:c r="M71" s="34"/>
      <s:c r="O71" s="34"/>
    </s:row>
    <s:row r="72" ht="15.75" customHeight="1">
      <s:c r="F72" s="34"/>
      <s:c r="M72" s="34"/>
      <s:c r="O72" s="34"/>
    </s:row>
    <s:row r="73" ht="15.75" customHeight="1">
      <s:c r="F73" s="34"/>
      <s:c r="M73" s="34"/>
      <s:c r="O73" s="34"/>
    </s:row>
    <s:row r="74" ht="15.75" customHeight="1">
      <s:c r="F74" s="34"/>
      <s:c r="M74" s="34"/>
      <s:c r="O74" s="34"/>
    </s:row>
    <s:row r="75" ht="15.75" customHeight="1">
      <s:c r="F75" s="34"/>
      <s:c r="M75" s="34"/>
      <s:c r="O75" s="34"/>
    </s:row>
    <s:row r="76" ht="15.75" customHeight="1">
      <s:c r="F76" s="34"/>
      <s:c r="M76" s="34"/>
      <s:c r="O76" s="34"/>
    </s:row>
    <s:row r="77" ht="15.75" customHeight="1">
      <s:c r="F77" s="34"/>
      <s:c r="M77" s="34"/>
      <s:c r="O77" s="34"/>
    </s:row>
    <s:row r="78" ht="15.75" customHeight="1">
      <s:c r="F78" s="34"/>
      <s:c r="M78" s="34"/>
      <s:c r="O78" s="34"/>
    </s:row>
    <s:row r="79" ht="15.75" customHeight="1">
      <s:c r="F79" s="34"/>
      <s:c r="M79" s="34"/>
      <s:c r="O79" s="34"/>
    </s:row>
    <s:row r="80" ht="15.75" customHeight="1">
      <s:c r="F80" s="34"/>
      <s:c r="M80" s="34"/>
      <s:c r="O80" s="34"/>
    </s:row>
    <s:row r="81" ht="15.75" customHeight="1">
      <s:c r="F81" s="34"/>
      <s:c r="M81" s="34"/>
      <s:c r="O81" s="34"/>
    </s:row>
    <s:row r="82" ht="15.75" customHeight="1">
      <s:c r="F82" s="34"/>
      <s:c r="M82" s="34"/>
      <s:c r="O82" s="34"/>
    </s:row>
    <s:row r="83" ht="15.75" customHeight="1">
      <s:c r="F83" s="34"/>
      <s:c r="M83" s="34"/>
      <s:c r="O83" s="34"/>
    </s:row>
    <s:row r="84" ht="15.75" customHeight="1">
      <s:c r="F84" s="34"/>
      <s:c r="M84" s="34"/>
      <s:c r="O84" s="34"/>
    </s:row>
    <s:row r="85" ht="15.75" customHeight="1">
      <s:c r="F85" s="34"/>
      <s:c r="M85" s="34"/>
      <s:c r="O85" s="34"/>
    </s:row>
    <s:row r="86" ht="15.75" customHeight="1">
      <s:c r="F86" s="34"/>
      <s:c r="M86" s="34"/>
      <s:c r="O86" s="34"/>
    </s:row>
    <s:row r="87" ht="15.75" customHeight="1">
      <s:c r="F87" s="34"/>
      <s:c r="M87" s="34"/>
      <s:c r="O87" s="34"/>
    </s:row>
    <s:row r="88" ht="15.75" customHeight="1">
      <s:c r="F88" s="34"/>
      <s:c r="M88" s="34"/>
      <s:c r="O88" s="34"/>
    </s:row>
    <s:row r="89" ht="15.75" customHeight="1">
      <s:c r="F89" s="34"/>
      <s:c r="M89" s="34"/>
      <s:c r="O89" s="34"/>
    </s:row>
    <s:row r="90" ht="15.75" customHeight="1">
      <s:c r="F90" s="34"/>
      <s:c r="M90" s="34"/>
      <s:c r="O90" s="34"/>
    </s:row>
    <s:row r="91" ht="15.75" customHeight="1">
      <s:c r="F91" s="34"/>
      <s:c r="M91" s="34"/>
      <s:c r="O91" s="34"/>
    </s:row>
    <s:row r="92" ht="15.75" customHeight="1">
      <s:c r="F92" s="34"/>
      <s:c r="M92" s="34"/>
      <s:c r="O92" s="34"/>
    </s:row>
    <s:row r="93" ht="15.75" customHeight="1">
      <s:c r="F93" s="34"/>
      <s:c r="M93" s="34"/>
      <s:c r="O93" s="34"/>
    </s:row>
    <s:row r="94" ht="15.75" customHeight="1">
      <s:c r="F94" s="34"/>
      <s:c r="M94" s="34"/>
      <s:c r="O94" s="34"/>
    </s:row>
    <s:row r="95" ht="15.75" customHeight="1">
      <s:c r="F95" s="34"/>
      <s:c r="M95" s="34"/>
      <s:c r="O95" s="34"/>
    </s:row>
    <s:row r="96" ht="15.75" customHeight="1">
      <s:c r="F96" s="34"/>
      <s:c r="M96" s="34"/>
      <s:c r="O96" s="34"/>
    </s:row>
    <s:row r="97" ht="15.75" customHeight="1">
      <s:c r="F97" s="34"/>
      <s:c r="M97" s="34"/>
      <s:c r="O97" s="34"/>
    </s:row>
    <s:row r="98" ht="15.75" customHeight="1">
      <s:c r="F98" s="34"/>
      <s:c r="M98" s="34"/>
      <s:c r="O98" s="34"/>
    </s:row>
    <s:row r="99" ht="15.75" customHeight="1">
      <s:c r="F99" s="34"/>
      <s:c r="M99" s="34"/>
      <s:c r="O99" s="34"/>
    </s:row>
    <s:row r="100" ht="15.75" customHeight="1">
      <s:c r="F100" s="34"/>
      <s:c r="M100" s="34"/>
      <s:c r="O100" s="34"/>
    </s:row>
    <s:row r="101" ht="15.75" customHeight="1"/>
    <s:row r="102" ht="15.75" customHeight="1"/>
    <s:row r="103" ht="15.75" customHeight="1"/>
    <s:row r="104" ht="15.75" customHeight="1"/>
    <s:row r="105" ht="15.75" customHeight="1"/>
    <s:row r="106" ht="15.75" customHeight="1"/>
    <s:row r="107" ht="15.75" customHeight="1"/>
    <s:row r="108" ht="15.75" customHeight="1"/>
    <s:row r="109" ht="15.75" customHeight="1"/>
    <s:row r="110" ht="15.75" customHeight="1"/>
    <s:row r="111" ht="15.75" customHeight="1"/>
    <s:row r="112" ht="15.75" customHeight="1"/>
    <s:row r="113" ht="15.75" customHeight="1"/>
    <s:row r="114" ht="15.75" customHeight="1"/>
    <s:row r="115" ht="15.75" customHeight="1"/>
    <s:row r="116" ht="15.75" customHeight="1"/>
    <s:row r="117" ht="15.75" customHeight="1"/>
    <s:row r="118" ht="15.75" customHeight="1"/>
    <s:row r="119" ht="15.75" customHeight="1"/>
    <s:row r="120" ht="15.75" customHeight="1"/>
    <s:row r="121" ht="15.75" customHeight="1"/>
    <s:row r="122" ht="15.75" customHeight="1"/>
    <s:row r="123" ht="15.75" customHeight="1"/>
    <s:row r="124" ht="15.75" customHeight="1"/>
    <s:row r="125" ht="15.75" customHeight="1"/>
    <s:row r="126" ht="15.75" customHeight="1"/>
    <s:row r="127" ht="15.75" customHeight="1"/>
    <s:row r="128" ht="15.75" customHeight="1"/>
    <s:row r="129" ht="15.75" customHeight="1"/>
    <s:row r="130" ht="15.75" customHeight="1"/>
    <s:row r="131" ht="15.75" customHeight="1"/>
    <s:row r="132" ht="15.75" customHeight="1"/>
    <s:row r="133" ht="15.75" customHeight="1"/>
    <s:row r="134" ht="15.75" customHeight="1"/>
    <s:row r="135" ht="15.75" customHeight="1"/>
    <s:row r="136" ht="15.75" customHeight="1"/>
    <s:row r="137" ht="15.75" customHeight="1"/>
    <s:row r="138" ht="15.75" customHeight="1"/>
    <s:row r="139" ht="15.75" customHeight="1"/>
    <s:row r="140" ht="15.75" customHeight="1"/>
    <s:row r="141" ht="15.75" customHeight="1"/>
    <s:row r="142" ht="15.75" customHeight="1"/>
    <s:row r="143" ht="15.75" customHeight="1"/>
    <s:row r="144" ht="15.75" customHeight="1"/>
    <s:row r="145" ht="15.75" customHeight="1"/>
    <s:row r="146" ht="15.75" customHeight="1"/>
    <s:row r="147" ht="15.75" customHeight="1"/>
    <s:row r="148" ht="15.75" customHeight="1"/>
    <s:row r="149" ht="15.75" customHeight="1"/>
    <s:row r="150" ht="15.75" customHeight="1"/>
    <s:row r="151" ht="15.75" customHeight="1"/>
    <s:row r="152" ht="15.75" customHeight="1"/>
    <s:row r="153" ht="15.75" customHeight="1"/>
    <s:row r="154" ht="15.75" customHeight="1"/>
    <s:row r="155" ht="15.75" customHeight="1"/>
    <s:row r="156" ht="15.75" customHeight="1"/>
    <s:row r="157" ht="15.75" customHeight="1"/>
    <s:row r="158" ht="15.75" customHeight="1"/>
    <s:row r="159" ht="15.75" customHeight="1"/>
    <s:row r="160" ht="15.75" customHeight="1"/>
    <s:row r="161" ht="15.75" customHeight="1"/>
    <s:row r="162" ht="15.75" customHeight="1"/>
    <s:row r="163" ht="15.75" customHeight="1"/>
    <s:row r="164" ht="15.75" customHeight="1"/>
    <s:row r="165" ht="15.75" customHeight="1"/>
    <s:row r="166" ht="15.75" customHeight="1"/>
    <s:row r="167" ht="15.75" customHeight="1"/>
    <s:row r="168" ht="15.75" customHeight="1"/>
    <s:row r="169" ht="15.75" customHeight="1"/>
    <s:row r="170" ht="15.75" customHeight="1"/>
    <s:row r="171" ht="15.75" customHeight="1"/>
    <s:row r="172" ht="15.75" customHeight="1"/>
    <s:row r="173" ht="15.75" customHeight="1"/>
    <s:row r="174" ht="15.75" customHeight="1"/>
    <s:row r="175" ht="15.75" customHeight="1"/>
    <s:row r="176" ht="15.75" customHeight="1"/>
    <s:row r="177" ht="15.75" customHeight="1"/>
    <s:row r="178" ht="15.75" customHeight="1"/>
    <s:row r="179" ht="15.75" customHeight="1"/>
    <s:row r="180" ht="15.75" customHeight="1"/>
    <s:row r="181" ht="15.75" customHeight="1"/>
    <s:row r="182" ht="15.75" customHeight="1"/>
    <s:row r="183" ht="15.75" customHeight="1"/>
    <s:row r="184" ht="15.75" customHeight="1"/>
    <s:row r="185" ht="15.75" customHeight="1"/>
    <s:row r="186" ht="15.75" customHeight="1"/>
    <s:row r="187" ht="15.75" customHeight="1"/>
    <s:row r="188" ht="15.75" customHeight="1"/>
    <s:row r="189" ht="15.75" customHeight="1"/>
    <s:row r="190" ht="15.75" customHeight="1"/>
    <s:row r="191" ht="15.75" customHeight="1"/>
    <s:row r="192" ht="15.75" customHeight="1"/>
    <s:row r="193" ht="15.75" customHeight="1"/>
    <s:row r="194" ht="15.75" customHeight="1"/>
    <s:row r="195" ht="15.75" customHeight="1"/>
    <s:row r="196" ht="15.75" customHeight="1"/>
    <s:row r="197" ht="15.75" customHeight="1"/>
    <s:row r="198" ht="15.75" customHeight="1"/>
    <s:row r="199" ht="15.75" customHeight="1"/>
    <s:row r="200" ht="15.75" customHeight="1"/>
    <s:row r="201" ht="15.75" customHeight="1"/>
    <s:row r="202" ht="15.75" customHeight="1"/>
    <s:row r="203" ht="15.75" customHeight="1"/>
    <s:row r="204" ht="15.75" customHeight="1"/>
    <s:row r="205" ht="15.75" customHeight="1"/>
    <s:row r="206" ht="15.75" customHeight="1"/>
    <s:row r="207" ht="15.75" customHeight="1"/>
    <s:row r="208" ht="15.75" customHeight="1"/>
    <s:row r="209" ht="15.75" customHeight="1"/>
    <s:row r="210" ht="15.75" customHeight="1"/>
    <s:row r="211" ht="15.75" customHeight="1"/>
    <s:row r="212" ht="15.75" customHeight="1"/>
    <s:row r="213" ht="15.75" customHeight="1"/>
    <s:row r="214" ht="15.75" customHeight="1"/>
    <s:row r="215" ht="15.75" customHeight="1"/>
    <s:row r="216" ht="15.75" customHeight="1"/>
    <s:row r="217" ht="15.75" customHeight="1"/>
    <s:row r="218" ht="15.75" customHeight="1"/>
    <s:row r="219" ht="15.75" customHeight="1"/>
    <s:row r="220" ht="15.75" customHeight="1"/>
    <s:row r="221" ht="15.75" customHeight="1"/>
    <s:row r="222" ht="15.75" customHeight="1"/>
    <s:row r="223" ht="15.75" customHeight="1"/>
    <s:row r="224" ht="15.75" customHeight="1"/>
    <s:row r="225" ht="15.75" customHeight="1"/>
    <s:row r="226" ht="15.75" customHeight="1"/>
    <s:row r="227" ht="15.75" customHeight="1"/>
    <s:row r="228" ht="15.75" customHeight="1"/>
    <s:row r="229" ht="15.75" customHeight="1"/>
    <s:row r="230" ht="15.75" customHeight="1"/>
    <s:row r="231" ht="15.75" customHeight="1"/>
    <s:row r="232" ht="15.75" customHeight="1"/>
    <s:row r="233" ht="15.75" customHeight="1"/>
    <s:row r="234" ht="15.75" customHeight="1"/>
    <s:row r="235" ht="15.75" customHeight="1"/>
    <s:row r="236" ht="15.75" customHeight="1"/>
    <s:row r="237" ht="15.75" customHeight="1"/>
    <s:row r="238" ht="15.75" customHeight="1"/>
    <s:row r="239" ht="15.75" customHeight="1"/>
    <s:row r="240" ht="15.75" customHeight="1"/>
    <s:row r="241" ht="15.75" customHeight="1"/>
    <s:row r="242" ht="15.75" customHeight="1"/>
    <s:row r="243" ht="15.75" customHeight="1"/>
    <s:row r="244" ht="15.75" customHeight="1"/>
    <s:row r="245" ht="15.75" customHeight="1"/>
    <s:row r="246" ht="15.75" customHeight="1"/>
    <s:row r="247" ht="15.75" customHeight="1"/>
    <s:row r="248" ht="15.75" customHeight="1"/>
    <s:row r="249" ht="15.75" customHeight="1"/>
    <s:row r="250" ht="15.75" customHeight="1"/>
    <s:row r="251" ht="15.75" customHeight="1"/>
    <s:row r="252" ht="15.75" customHeight="1"/>
    <s:row r="253" ht="15.75" customHeight="1"/>
    <s:row r="254" ht="15.75" customHeight="1"/>
    <s:row r="255" ht="15.75" customHeight="1"/>
    <s:row r="256" ht="15.75" customHeight="1"/>
    <s:row r="257" ht="15.75" customHeight="1"/>
    <s:row r="258" ht="15.75" customHeight="1"/>
    <s:row r="259" ht="15.75" customHeight="1"/>
    <s:row r="260" ht="15.75" customHeight="1"/>
    <s:row r="261" ht="15.75" customHeight="1"/>
    <s:row r="262" ht="15.75" customHeight="1"/>
    <s:row r="263" ht="15.75" customHeight="1"/>
    <s:row r="264" ht="15.75" customHeight="1"/>
    <s:row r="265" ht="15.75" customHeight="1"/>
    <s:row r="266" ht="15.75" customHeight="1"/>
    <s:row r="267" ht="15.75" customHeight="1"/>
    <s:row r="268" ht="15.75" customHeight="1"/>
    <s:row r="269" ht="15.75" customHeight="1"/>
    <s:row r="270" ht="15.75" customHeight="1"/>
    <s:row r="271" ht="15.75" customHeight="1"/>
    <s:row r="272" ht="15.75" customHeight="1"/>
    <s:row r="273" ht="15.75" customHeight="1"/>
    <s:row r="274" ht="15.75" customHeight="1"/>
    <s:row r="275" ht="15.75" customHeight="1"/>
    <s:row r="276" ht="15.75" customHeight="1"/>
    <s:row r="277" ht="15.75" customHeight="1"/>
    <s:row r="278" ht="15.75" customHeight="1"/>
    <s:row r="279" ht="15.75" customHeight="1"/>
    <s:row r="280" ht="15.75" customHeight="1"/>
    <s:row r="281" ht="15.75" customHeight="1"/>
    <s:row r="282" ht="15.75" customHeight="1"/>
    <s:row r="283" ht="15.75" customHeight="1"/>
    <s:row r="284" ht="15.75" customHeight="1"/>
    <s:row r="285" ht="15.75" customHeight="1"/>
    <s:row r="286" ht="15.75" customHeight="1"/>
    <s:row r="287" ht="15.75" customHeight="1"/>
    <s:row r="288" ht="15.75" customHeight="1"/>
    <s:row r="289" ht="15.75" customHeight="1"/>
    <s:row r="290" ht="15.75" customHeight="1"/>
    <s:row r="291" ht="15.75" customHeight="1"/>
    <s:row r="292" ht="15.75" customHeight="1"/>
    <s:row r="293" ht="15.75" customHeight="1"/>
    <s:row r="294" ht="15.75" customHeight="1"/>
    <s:row r="295" ht="15.75" customHeight="1"/>
    <s:row r="296" ht="15.75" customHeight="1"/>
    <s:row r="297" ht="15.75" customHeight="1"/>
    <s:row r="298" ht="15.75" customHeight="1"/>
    <s:row r="299" ht="15.75" customHeight="1"/>
    <s:row r="300" ht="15.75" customHeight="1"/>
    <s:row r="301" ht="15.75" customHeight="1"/>
    <s:row r="302" ht="15.75" customHeight="1"/>
    <s:row r="303" ht="15.75" customHeight="1"/>
    <s:row r="304" ht="15.75" customHeight="1"/>
    <s:row r="305" ht="15.75" customHeight="1"/>
    <s:row r="306" ht="15.75" customHeight="1"/>
    <s:row r="307" ht="15.75" customHeight="1"/>
    <s:row r="308" ht="15.75" customHeight="1"/>
    <s:row r="309" ht="15.75" customHeight="1"/>
    <s:row r="310" ht="15.75" customHeight="1"/>
    <s:row r="311" ht="15.75" customHeight="1"/>
    <s:row r="312" ht="15.75" customHeight="1"/>
    <s:row r="313" ht="15.75" customHeight="1"/>
    <s:row r="314" ht="15.75" customHeight="1"/>
    <s:row r="315" ht="15.75" customHeight="1"/>
    <s:row r="316" ht="15.75" customHeight="1"/>
    <s:row r="317" ht="15.75" customHeight="1"/>
    <s:row r="318" ht="15.75" customHeight="1"/>
    <s:row r="319" ht="15.75" customHeight="1"/>
    <s:row r="320" ht="15.75" customHeight="1"/>
    <s:row r="321" ht="15.75" customHeight="1"/>
    <s:row r="322" ht="15.75" customHeight="1"/>
    <s:row r="323" ht="15.75" customHeight="1"/>
    <s:row r="324" ht="15.75" customHeight="1"/>
    <s:row r="325" ht="15.75" customHeight="1"/>
    <s:row r="326" ht="15.75" customHeight="1"/>
    <s:row r="327" ht="15.75" customHeight="1"/>
    <s:row r="328" ht="15.75" customHeight="1"/>
    <s:row r="329" ht="15.75" customHeight="1"/>
    <s:row r="330" ht="15.75" customHeight="1"/>
    <s:row r="331" ht="15.75" customHeight="1"/>
    <s:row r="332" ht="15.75" customHeight="1"/>
    <s:row r="333" ht="15.75" customHeight="1"/>
    <s:row r="334" ht="15.75" customHeight="1"/>
    <s:row r="335" ht="15.75" customHeight="1"/>
    <s:row r="336" ht="15.75" customHeight="1"/>
    <s:row r="337" ht="15.75" customHeight="1"/>
    <s:row r="338" ht="15.75" customHeight="1"/>
    <s:row r="339" ht="15.75" customHeight="1"/>
    <s:row r="340" ht="15.75" customHeight="1"/>
    <s:row r="341" ht="15.75" customHeight="1"/>
    <s:row r="342" ht="15.75" customHeight="1"/>
    <s:row r="343" ht="15.75" customHeight="1"/>
    <s:row r="344" ht="15.75" customHeight="1"/>
    <s:row r="345" ht="15.75" customHeight="1"/>
    <s:row r="346" ht="15.75" customHeight="1"/>
    <s:row r="347" ht="15.75" customHeight="1"/>
    <s:row r="348" ht="15.75" customHeight="1"/>
    <s:row r="349" ht="15.75" customHeight="1"/>
    <s:row r="350" ht="15.75" customHeight="1"/>
    <s:row r="351" ht="15.75" customHeight="1"/>
    <s:row r="352" ht="15.75" customHeight="1"/>
    <s:row r="353" ht="15.75" customHeight="1"/>
    <s:row r="354" ht="15.75" customHeight="1"/>
    <s:row r="355" ht="15.75" customHeight="1"/>
    <s:row r="356" ht="15.75" customHeight="1"/>
    <s:row r="357" ht="15.75" customHeight="1"/>
    <s:row r="358" ht="15.75" customHeight="1"/>
    <s:row r="359" ht="15.75" customHeight="1"/>
    <s:row r="360" ht="15.75" customHeight="1"/>
    <s:row r="361" ht="15.75" customHeight="1"/>
    <s:row r="362" ht="15.75" customHeight="1"/>
    <s:row r="363" ht="15.75" customHeight="1"/>
    <s:row r="364" ht="15.75" customHeight="1"/>
    <s:row r="365" ht="15.75" customHeight="1"/>
    <s:row r="366" ht="15.75" customHeight="1"/>
    <s:row r="367" ht="15.75" customHeight="1"/>
    <s:row r="368" ht="15.75" customHeight="1"/>
    <s:row r="369" ht="15.75" customHeight="1"/>
    <s:row r="370" ht="15.75" customHeight="1"/>
    <s:row r="371" ht="15.75" customHeight="1"/>
    <s:row r="372" ht="15.75" customHeight="1"/>
    <s:row r="373" ht="15.75" customHeight="1"/>
    <s:row r="374" ht="15.75" customHeight="1"/>
    <s:row r="375" ht="15.75" customHeight="1"/>
    <s:row r="376" ht="15.75" customHeight="1"/>
    <s:row r="377" ht="15.75" customHeight="1"/>
    <s:row r="378" ht="15.75" customHeight="1"/>
    <s:row r="379" ht="15.75" customHeight="1"/>
    <s:row r="380" ht="15.75" customHeight="1"/>
    <s:row r="381" ht="15.75" customHeight="1"/>
    <s:row r="382" ht="15.75" customHeight="1"/>
    <s:row r="383" ht="15.75" customHeight="1"/>
    <s:row r="384" ht="15.75" customHeight="1"/>
    <s:row r="385" ht="15.75" customHeight="1"/>
    <s:row r="386" ht="15.75" customHeight="1"/>
    <s:row r="387" ht="15.75" customHeight="1"/>
    <s:row r="388" ht="15.75" customHeight="1"/>
    <s:row r="389" ht="15.75" customHeight="1"/>
    <s:row r="390" ht="15.75" customHeight="1"/>
    <s:row r="391" ht="15.75" customHeight="1"/>
    <s:row r="392" ht="15.75" customHeight="1"/>
    <s:row r="393" ht="15.75" customHeight="1"/>
    <s:row r="394" ht="15.75" customHeight="1"/>
    <s:row r="395" ht="15.75" customHeight="1"/>
    <s:row r="396" ht="15.75" customHeight="1"/>
    <s:row r="397" ht="15.75" customHeight="1"/>
    <s:row r="398" ht="15.75" customHeight="1"/>
    <s:row r="399" ht="15.75" customHeight="1"/>
    <s:row r="400" ht="15.75" customHeight="1"/>
    <s:row r="401" ht="15.75" customHeight="1"/>
    <s:row r="402" ht="15.75" customHeight="1"/>
    <s:row r="403" ht="15.75" customHeight="1"/>
    <s:row r="404" ht="15.75" customHeight="1"/>
    <s:row r="405" ht="15.75" customHeight="1"/>
    <s:row r="406" ht="15.75" customHeight="1"/>
    <s:row r="407" ht="15.75" customHeight="1"/>
    <s:row r="408" ht="15.75" customHeight="1"/>
    <s:row r="409" ht="15.75" customHeight="1"/>
    <s:row r="410" ht="15.75" customHeight="1"/>
    <s:row r="411" ht="15.75" customHeight="1"/>
    <s:row r="412" ht="15.75" customHeight="1"/>
    <s:row r="413" ht="15.75" customHeight="1"/>
    <s:row r="414" ht="15.75" customHeight="1"/>
    <s:row r="415" ht="15.75" customHeight="1"/>
    <s:row r="416" ht="15.75" customHeight="1"/>
    <s:row r="417" ht="15.75" customHeight="1"/>
    <s:row r="418" ht="15.75" customHeight="1"/>
    <s:row r="419" ht="15.75" customHeight="1"/>
    <s:row r="420" ht="15.75" customHeight="1"/>
    <s:row r="421" ht="15.75" customHeight="1"/>
    <s:row r="422" ht="15.75" customHeight="1"/>
    <s:row r="423" ht="15.75" customHeight="1"/>
    <s:row r="424" ht="15.75" customHeight="1"/>
    <s:row r="425" ht="15.75" customHeight="1"/>
    <s:row r="426" ht="15.75" customHeight="1"/>
    <s:row r="427" ht="15.75" customHeight="1"/>
    <s:row r="428" ht="15.75" customHeight="1"/>
    <s:row r="429" ht="15.75" customHeight="1"/>
    <s:row r="430" ht="15.75" customHeight="1"/>
    <s:row r="431" ht="15.75" customHeight="1"/>
    <s:row r="432" ht="15.75" customHeight="1"/>
    <s:row r="433" ht="15.75" customHeight="1"/>
    <s:row r="434" ht="15.75" customHeight="1"/>
    <s:row r="435" ht="15.75" customHeight="1"/>
    <s:row r="436" ht="15.75" customHeight="1"/>
    <s:row r="437" ht="15.75" customHeight="1"/>
    <s:row r="438" ht="15.75" customHeight="1"/>
    <s:row r="439" ht="15.75" customHeight="1"/>
    <s:row r="440" ht="15.75" customHeight="1"/>
    <s:row r="441" ht="15.75" customHeight="1"/>
    <s:row r="442" ht="15.75" customHeight="1"/>
    <s:row r="443" ht="15.75" customHeight="1"/>
    <s:row r="444" ht="15.75" customHeight="1"/>
    <s:row r="445" ht="15.75" customHeight="1"/>
    <s:row r="446" ht="15.75" customHeight="1"/>
    <s:row r="447" ht="15.75" customHeight="1"/>
    <s:row r="448" ht="15.75" customHeight="1"/>
    <s:row r="449" ht="15.75" customHeight="1"/>
    <s:row r="450" ht="15.75" customHeight="1"/>
    <s:row r="451" ht="15.75" customHeight="1"/>
    <s:row r="452" ht="15.75" customHeight="1"/>
    <s:row r="453" ht="15.75" customHeight="1"/>
    <s:row r="454" ht="15.75" customHeight="1"/>
    <s:row r="455" ht="15.75" customHeight="1"/>
    <s:row r="456" ht="15.75" customHeight="1"/>
    <s:row r="457" ht="15.75" customHeight="1"/>
    <s:row r="458" ht="15.75" customHeight="1"/>
    <s:row r="459" ht="15.75" customHeight="1"/>
    <s:row r="460" ht="15.75" customHeight="1"/>
    <s:row r="461" ht="15.75" customHeight="1"/>
    <s:row r="462" ht="15.75" customHeight="1"/>
    <s:row r="463" ht="15.75" customHeight="1"/>
    <s:row r="464" ht="15.75" customHeight="1"/>
    <s:row r="465" ht="15.75" customHeight="1"/>
    <s:row r="466" ht="15.75" customHeight="1"/>
    <s:row r="467" ht="15.75" customHeight="1"/>
    <s:row r="468" ht="15.75" customHeight="1"/>
    <s:row r="469" ht="15.75" customHeight="1"/>
    <s:row r="470" ht="15.75" customHeight="1"/>
    <s:row r="471" ht="15.75" customHeight="1"/>
    <s:row r="472" ht="15.75" customHeight="1"/>
    <s:row r="473" ht="15.75" customHeight="1"/>
    <s:row r="474" ht="15.75" customHeight="1"/>
    <s:row r="475" ht="15.75" customHeight="1"/>
    <s:row r="476" ht="15.75" customHeight="1"/>
    <s:row r="477" ht="15.75" customHeight="1"/>
    <s:row r="478" ht="15.75" customHeight="1"/>
    <s:row r="479" ht="15.75" customHeight="1"/>
    <s:row r="480" ht="15.75" customHeight="1"/>
    <s:row r="481" ht="15.75" customHeight="1"/>
    <s:row r="482" ht="15.75" customHeight="1"/>
    <s:row r="483" ht="15.75" customHeight="1"/>
    <s:row r="484" ht="15.75" customHeight="1"/>
    <s:row r="485" ht="15.75" customHeight="1"/>
    <s:row r="486" ht="15.75" customHeight="1"/>
    <s:row r="487" ht="15.75" customHeight="1"/>
    <s:row r="488" ht="15.75" customHeight="1"/>
    <s:row r="489" ht="15.75" customHeight="1"/>
    <s:row r="490" ht="15.75" customHeight="1"/>
    <s:row r="491" ht="15.75" customHeight="1"/>
    <s:row r="492" ht="15.75" customHeight="1"/>
    <s:row r="493" ht="15.75" customHeight="1"/>
    <s:row r="494" ht="15.75" customHeight="1"/>
    <s:row r="495" ht="15.75" customHeight="1"/>
    <s:row r="496" ht="15.75" customHeight="1"/>
    <s:row r="497" ht="15.75" customHeight="1"/>
    <s:row r="498" ht="15.75" customHeight="1"/>
    <s:row r="499" ht="15.75" customHeight="1"/>
    <s:row r="500" ht="15.75" customHeight="1"/>
    <s:row r="501" ht="15.75" customHeight="1"/>
    <s:row r="502" ht="15.75" customHeight="1"/>
    <s:row r="503" ht="15.75" customHeight="1"/>
    <s:row r="504" ht="15.75" customHeight="1"/>
    <s:row r="505" ht="15.75" customHeight="1"/>
    <s:row r="506" ht="15.75" customHeight="1"/>
    <s:row r="507" ht="15.75" customHeight="1"/>
    <s:row r="508" ht="15.75" customHeight="1"/>
    <s:row r="509" ht="15.75" customHeight="1"/>
    <s:row r="510" ht="15.75" customHeight="1"/>
    <s:row r="511" ht="15.75" customHeight="1"/>
    <s:row r="512" ht="15.75" customHeight="1"/>
    <s:row r="513" ht="15.75" customHeight="1"/>
    <s:row r="514" ht="15.75" customHeight="1"/>
    <s:row r="515" ht="15.75" customHeight="1"/>
    <s:row r="516" ht="15.75" customHeight="1"/>
    <s:row r="517" ht="15.75" customHeight="1"/>
    <s:row r="518" ht="15.75" customHeight="1"/>
    <s:row r="519" ht="15.75" customHeight="1"/>
    <s:row r="520" ht="15.75" customHeight="1"/>
    <s:row r="521" ht="15.75" customHeight="1"/>
    <s:row r="522" ht="15.75" customHeight="1"/>
    <s:row r="523" ht="15.75" customHeight="1"/>
    <s:row r="524" ht="15.75" customHeight="1"/>
    <s:row r="525" ht="15.75" customHeight="1"/>
    <s:row r="526" ht="15.75" customHeight="1"/>
    <s:row r="527" ht="15.75" customHeight="1"/>
    <s:row r="528" ht="15.75" customHeight="1"/>
    <s:row r="529" ht="15.75" customHeight="1"/>
    <s:row r="530" ht="15.75" customHeight="1"/>
    <s:row r="531" ht="15.75" customHeight="1"/>
    <s:row r="532" ht="15.75" customHeight="1"/>
    <s:row r="533" ht="15.75" customHeight="1"/>
    <s:row r="534" ht="15.75" customHeight="1"/>
    <s:row r="535" ht="15.75" customHeight="1"/>
    <s:row r="536" ht="15.75" customHeight="1"/>
    <s:row r="537" ht="15.75" customHeight="1"/>
    <s:row r="538" ht="15.75" customHeight="1"/>
    <s:row r="539" ht="15.75" customHeight="1"/>
    <s:row r="540" ht="15.75" customHeight="1"/>
    <s:row r="541" ht="15.75" customHeight="1"/>
    <s:row r="542" ht="15.75" customHeight="1"/>
    <s:row r="543" ht="15.75" customHeight="1"/>
    <s:row r="544" ht="15.75" customHeight="1"/>
    <s:row r="545" ht="15.75" customHeight="1"/>
    <s:row r="546" ht="15.75" customHeight="1"/>
    <s:row r="547" ht="15.75" customHeight="1"/>
    <s:row r="548" ht="15.75" customHeight="1"/>
    <s:row r="549" ht="15.75" customHeight="1"/>
    <s:row r="550" ht="15.75" customHeight="1"/>
    <s:row r="551" ht="15.75" customHeight="1"/>
    <s:row r="552" ht="15.75" customHeight="1"/>
    <s:row r="553" ht="15.75" customHeight="1"/>
    <s:row r="554" ht="15.75" customHeight="1"/>
    <s:row r="555" ht="15.75" customHeight="1"/>
    <s:row r="556" ht="15.75" customHeight="1"/>
    <s:row r="557" ht="15.75" customHeight="1"/>
    <s:row r="558" ht="15.75" customHeight="1"/>
    <s:row r="559" ht="15.75" customHeight="1"/>
    <s:row r="560" ht="15.75" customHeight="1"/>
    <s:row r="561" ht="15.75" customHeight="1"/>
    <s:row r="562" ht="15.75" customHeight="1"/>
    <s:row r="563" ht="15.75" customHeight="1"/>
    <s:row r="564" ht="15.75" customHeight="1"/>
    <s:row r="565" ht="15.75" customHeight="1"/>
    <s:row r="566" ht="15.75" customHeight="1"/>
    <s:row r="567" ht="15.75" customHeight="1"/>
    <s:row r="568" ht="15.75" customHeight="1"/>
    <s:row r="569" ht="15.75" customHeight="1"/>
    <s:row r="570" ht="15.75" customHeight="1"/>
    <s:row r="571" ht="15.75" customHeight="1"/>
    <s:row r="572" ht="15.75" customHeight="1"/>
    <s:row r="573" ht="15.75" customHeight="1"/>
    <s:row r="574" ht="15.75" customHeight="1"/>
    <s:row r="575" ht="15.75" customHeight="1"/>
    <s:row r="576" ht="15.75" customHeight="1"/>
    <s:row r="577" ht="15.75" customHeight="1"/>
    <s:row r="578" ht="15.75" customHeight="1"/>
    <s:row r="579" ht="15.75" customHeight="1"/>
    <s:row r="580" ht="15.75" customHeight="1"/>
    <s:row r="581" ht="15.75" customHeight="1"/>
    <s:row r="582" ht="15.75" customHeight="1"/>
    <s:row r="583" ht="15.75" customHeight="1"/>
    <s:row r="584" ht="15.75" customHeight="1"/>
    <s:row r="585" ht="15.75" customHeight="1"/>
    <s:row r="586" ht="15.75" customHeight="1"/>
    <s:row r="587" ht="15.75" customHeight="1"/>
    <s:row r="588" ht="15.75" customHeight="1"/>
    <s:row r="589" ht="15.75" customHeight="1"/>
    <s:row r="590" ht="15.75" customHeight="1"/>
    <s:row r="591" ht="15.75" customHeight="1"/>
    <s:row r="592" ht="15.75" customHeight="1"/>
    <s:row r="593" ht="15.75" customHeight="1"/>
    <s:row r="594" ht="15.75" customHeight="1"/>
    <s:row r="595" ht="15.75" customHeight="1"/>
    <s:row r="596" ht="15.75" customHeight="1"/>
    <s:row r="597" ht="15.75" customHeight="1"/>
    <s:row r="598" ht="15.75" customHeight="1"/>
    <s:row r="599" ht="15.75" customHeight="1"/>
    <s:row r="600" ht="15.75" customHeight="1"/>
    <s:row r="601" ht="15.75" customHeight="1"/>
    <s:row r="602" ht="15.75" customHeight="1"/>
    <s:row r="603" ht="15.75" customHeight="1"/>
    <s:row r="604" ht="15.75" customHeight="1"/>
    <s:row r="605" ht="15.75" customHeight="1"/>
    <s:row r="606" ht="15.75" customHeight="1"/>
    <s:row r="607" ht="15.75" customHeight="1"/>
    <s:row r="608" ht="15.75" customHeight="1"/>
    <s:row r="609" ht="15.75" customHeight="1"/>
    <s:row r="610" ht="15.75" customHeight="1"/>
    <s:row r="611" ht="15.75" customHeight="1"/>
    <s:row r="612" ht="15.75" customHeight="1"/>
    <s:row r="613" ht="15.75" customHeight="1"/>
    <s:row r="614" ht="15.75" customHeight="1"/>
    <s:row r="615" ht="15.75" customHeight="1"/>
    <s:row r="616" ht="15.75" customHeight="1"/>
    <s:row r="617" ht="15.75" customHeight="1"/>
    <s:row r="618" ht="15.75" customHeight="1"/>
    <s:row r="619" ht="15.75" customHeight="1"/>
    <s:row r="620" ht="15.75" customHeight="1"/>
    <s:row r="621" ht="15.75" customHeight="1"/>
    <s:row r="622" ht="15.75" customHeight="1"/>
    <s:row r="623" ht="15.75" customHeight="1"/>
    <s:row r="624" ht="15.75" customHeight="1"/>
    <s:row r="625" ht="15.75" customHeight="1"/>
    <s:row r="626" ht="15.75" customHeight="1"/>
    <s:row r="627" ht="15.75" customHeight="1"/>
    <s:row r="628" ht="15.75" customHeight="1"/>
    <s:row r="629" ht="15.75" customHeight="1"/>
    <s:row r="630" ht="15.75" customHeight="1"/>
    <s:row r="631" ht="15.75" customHeight="1"/>
    <s:row r="632" ht="15.75" customHeight="1"/>
    <s:row r="633" ht="15.75" customHeight="1"/>
    <s:row r="634" ht="15.75" customHeight="1"/>
    <s:row r="635" ht="15.75" customHeight="1"/>
    <s:row r="636" ht="15.75" customHeight="1"/>
    <s:row r="637" ht="15.75" customHeight="1"/>
    <s:row r="638" ht="15.75" customHeight="1"/>
    <s:row r="639" ht="15.75" customHeight="1"/>
    <s:row r="640" ht="15.75" customHeight="1"/>
    <s:row r="641" ht="15.75" customHeight="1"/>
    <s:row r="642" ht="15.75" customHeight="1"/>
    <s:row r="643" ht="15.75" customHeight="1"/>
    <s:row r="644" ht="15.75" customHeight="1"/>
    <s:row r="645" ht="15.75" customHeight="1"/>
    <s:row r="646" ht="15.75" customHeight="1"/>
    <s:row r="647" ht="15.75" customHeight="1"/>
    <s:row r="648" ht="15.75" customHeight="1"/>
    <s:row r="649" ht="15.75" customHeight="1"/>
    <s:row r="650" ht="15.75" customHeight="1"/>
    <s:row r="651" ht="15.75" customHeight="1"/>
    <s:row r="652" ht="15.75" customHeight="1"/>
    <s:row r="653" ht="15.75" customHeight="1"/>
    <s:row r="654" ht="15.75" customHeight="1"/>
    <s:row r="655" ht="15.75" customHeight="1"/>
    <s:row r="656" ht="15.75" customHeight="1"/>
    <s:row r="657" ht="15.75" customHeight="1"/>
    <s:row r="658" ht="15.75" customHeight="1"/>
    <s:row r="659" ht="15.75" customHeight="1"/>
    <s:row r="660" ht="15.75" customHeight="1"/>
    <s:row r="661" ht="15.75" customHeight="1"/>
    <s:row r="662" ht="15.75" customHeight="1"/>
    <s:row r="663" ht="15.75" customHeight="1"/>
    <s:row r="664" ht="15.75" customHeight="1"/>
    <s:row r="665" ht="15.75" customHeight="1"/>
    <s:row r="666" ht="15.75" customHeight="1"/>
    <s:row r="667" ht="15.75" customHeight="1"/>
    <s:row r="668" ht="15.75" customHeight="1"/>
    <s:row r="669" ht="15.75" customHeight="1"/>
    <s:row r="670" ht="15.75" customHeight="1"/>
    <s:row r="671" ht="15.75" customHeight="1"/>
    <s:row r="672" ht="15.75" customHeight="1"/>
    <s:row r="673" ht="15.75" customHeight="1"/>
    <s:row r="674" ht="15.75" customHeight="1"/>
    <s:row r="675" ht="15.75" customHeight="1"/>
    <s:row r="676" ht="15.75" customHeight="1"/>
    <s:row r="677" ht="15.75" customHeight="1"/>
    <s:row r="678" ht="15.75" customHeight="1"/>
    <s:row r="679" ht="15.75" customHeight="1"/>
    <s:row r="680" ht="15.75" customHeight="1"/>
    <s:row r="681" ht="15.75" customHeight="1"/>
    <s:row r="682" ht="15.75" customHeight="1"/>
    <s:row r="683" ht="15.75" customHeight="1"/>
    <s:row r="684" ht="15.75" customHeight="1"/>
    <s:row r="685" ht="15.75" customHeight="1"/>
    <s:row r="686" ht="15.75" customHeight="1"/>
    <s:row r="687" ht="15.75" customHeight="1"/>
    <s:row r="688" ht="15.75" customHeight="1"/>
    <s:row r="689" ht="15.75" customHeight="1"/>
    <s:row r="690" ht="15.75" customHeight="1"/>
    <s:row r="691" ht="15.75" customHeight="1"/>
    <s:row r="692" ht="15.75" customHeight="1"/>
    <s:row r="693" ht="15.75" customHeight="1"/>
    <s:row r="694" ht="15.75" customHeight="1"/>
    <s:row r="695" ht="15.75" customHeight="1"/>
    <s:row r="696" ht="15.75" customHeight="1"/>
    <s:row r="697" ht="15.75" customHeight="1"/>
    <s:row r="698" ht="15.75" customHeight="1"/>
    <s:row r="699" ht="15.75" customHeight="1"/>
    <s:row r="700" ht="15.75" customHeight="1"/>
    <s:row r="701" ht="15.75" customHeight="1"/>
    <s:row r="702" ht="15.75" customHeight="1"/>
    <s:row r="703" ht="15.75" customHeight="1"/>
    <s:row r="704" ht="15.75" customHeight="1"/>
    <s:row r="705" ht="15.75" customHeight="1"/>
    <s:row r="706" ht="15.75" customHeight="1"/>
    <s:row r="707" ht="15.75" customHeight="1"/>
    <s:row r="708" ht="15.75" customHeight="1"/>
    <s:row r="709" ht="15.75" customHeight="1"/>
    <s:row r="710" ht="15.75" customHeight="1"/>
    <s:row r="711" ht="15.75" customHeight="1"/>
    <s:row r="712" ht="15.75" customHeight="1"/>
    <s:row r="713" ht="15.75" customHeight="1"/>
    <s:row r="714" ht="15.75" customHeight="1"/>
    <s:row r="715" ht="15.75" customHeight="1"/>
    <s:row r="716" ht="15.75" customHeight="1"/>
    <s:row r="717" ht="15.75" customHeight="1"/>
    <s:row r="718" ht="15.75" customHeight="1"/>
    <s:row r="719" ht="15.75" customHeight="1"/>
    <s:row r="720" ht="15.75" customHeight="1"/>
    <s:row r="721" ht="15.75" customHeight="1"/>
    <s:row r="722" ht="15.75" customHeight="1"/>
    <s:row r="723" ht="15.75" customHeight="1"/>
    <s:row r="724" ht="15.75" customHeight="1"/>
    <s:row r="725" ht="15.75" customHeight="1"/>
    <s:row r="726" ht="15.75" customHeight="1"/>
    <s:row r="727" ht="15.75" customHeight="1"/>
    <s:row r="728" ht="15.75" customHeight="1"/>
    <s:row r="729" ht="15.75" customHeight="1"/>
    <s:row r="730" ht="15.75" customHeight="1"/>
    <s:row r="731" ht="15.75" customHeight="1"/>
    <s:row r="732" ht="15.75" customHeight="1"/>
    <s:row r="733" ht="15.75" customHeight="1"/>
    <s:row r="734" ht="15.75" customHeight="1"/>
    <s:row r="735" ht="15.75" customHeight="1"/>
    <s:row r="736" ht="15.75" customHeight="1"/>
    <s:row r="737" ht="15.75" customHeight="1"/>
    <s:row r="738" ht="15.75" customHeight="1"/>
    <s:row r="739" ht="15.75" customHeight="1"/>
    <s:row r="740" ht="15.75" customHeight="1"/>
    <s:row r="741" ht="15.75" customHeight="1"/>
    <s:row r="742" ht="15.75" customHeight="1"/>
    <s:row r="743" ht="15.75" customHeight="1"/>
    <s:row r="744" ht="15.75" customHeight="1"/>
    <s:row r="745" ht="15.75" customHeight="1"/>
    <s:row r="746" ht="15.75" customHeight="1"/>
    <s:row r="747" ht="15.75" customHeight="1"/>
    <s:row r="748" ht="15.75" customHeight="1"/>
    <s:row r="749" ht="15.75" customHeight="1"/>
    <s:row r="750" ht="15.75" customHeight="1"/>
    <s:row r="751" ht="15.75" customHeight="1"/>
    <s:row r="752" ht="15.75" customHeight="1"/>
    <s:row r="753" ht="15.75" customHeight="1"/>
    <s:row r="754" ht="15.75" customHeight="1"/>
    <s:row r="755" ht="15.75" customHeight="1"/>
    <s:row r="756" ht="15.75" customHeight="1"/>
    <s:row r="757" ht="15.75" customHeight="1"/>
    <s:row r="758" ht="15.75" customHeight="1"/>
    <s:row r="759" ht="15.75" customHeight="1"/>
    <s:row r="760" ht="15.75" customHeight="1"/>
    <s:row r="761" ht="15.75" customHeight="1"/>
    <s:row r="762" ht="15.75" customHeight="1"/>
    <s:row r="763" ht="15.75" customHeight="1"/>
    <s:row r="764" ht="15.75" customHeight="1"/>
    <s:row r="765" ht="15.75" customHeight="1"/>
    <s:row r="766" ht="15.75" customHeight="1"/>
    <s:row r="767" ht="15.75" customHeight="1"/>
    <s:row r="768" ht="15.75" customHeight="1"/>
    <s:row r="769" ht="15.75" customHeight="1"/>
    <s:row r="770" ht="15.75" customHeight="1"/>
    <s:row r="771" ht="15.75" customHeight="1"/>
    <s:row r="772" ht="15.75" customHeight="1"/>
    <s:row r="773" ht="15.75" customHeight="1"/>
    <s:row r="774" ht="15.75" customHeight="1"/>
    <s:row r="775" ht="15.75" customHeight="1"/>
    <s:row r="776" ht="15.75" customHeight="1"/>
    <s:row r="777" ht="15.75" customHeight="1"/>
    <s:row r="778" ht="15.75" customHeight="1"/>
    <s:row r="779" ht="15.75" customHeight="1"/>
    <s:row r="780" ht="15.75" customHeight="1"/>
    <s:row r="781" ht="15.75" customHeight="1"/>
    <s:row r="782" ht="15.75" customHeight="1"/>
    <s:row r="783" ht="15.75" customHeight="1"/>
    <s:row r="784" ht="15.75" customHeight="1"/>
    <s:row r="785" ht="15.75" customHeight="1"/>
    <s:row r="786" ht="15.75" customHeight="1"/>
    <s:row r="787" ht="15.75" customHeight="1"/>
    <s:row r="788" ht="15.75" customHeight="1"/>
    <s:row r="789" ht="15.75" customHeight="1"/>
    <s:row r="790" ht="15.75" customHeight="1"/>
    <s:row r="791" ht="15.75" customHeight="1"/>
    <s:row r="792" ht="15.75" customHeight="1"/>
    <s:row r="793" ht="15.75" customHeight="1"/>
    <s:row r="794" ht="15.75" customHeight="1"/>
    <s:row r="795" ht="15.75" customHeight="1"/>
    <s:row r="796" ht="15.75" customHeight="1"/>
    <s:row r="797" ht="15.75" customHeight="1"/>
    <s:row r="798" ht="15.75" customHeight="1"/>
    <s:row r="799" ht="15.75" customHeight="1"/>
    <s:row r="800" ht="15.75" customHeight="1"/>
    <s:row r="801" ht="15.75" customHeight="1"/>
    <s:row r="802" ht="15.75" customHeight="1"/>
    <s:row r="803" ht="15.75" customHeight="1"/>
    <s:row r="804" ht="15.75" customHeight="1"/>
    <s:row r="805" ht="15.75" customHeight="1"/>
    <s:row r="806" ht="15.75" customHeight="1"/>
    <s:row r="807" ht="15.75" customHeight="1"/>
    <s:row r="808" ht="15.75" customHeight="1"/>
    <s:row r="809" ht="15.75" customHeight="1"/>
    <s:row r="810" ht="15.75" customHeight="1"/>
    <s:row r="811" ht="15.75" customHeight="1"/>
    <s:row r="812" ht="15.75" customHeight="1"/>
    <s:row r="813" ht="15.75" customHeight="1"/>
    <s:row r="814" ht="15.75" customHeight="1"/>
    <s:row r="815" ht="15.75" customHeight="1"/>
    <s:row r="816" ht="15.75" customHeight="1"/>
    <s:row r="817" ht="15.75" customHeight="1"/>
    <s:row r="818" ht="15.75" customHeight="1"/>
    <s:row r="819" ht="15.75" customHeight="1"/>
    <s:row r="820" ht="15.75" customHeight="1"/>
    <s:row r="821" ht="15.75" customHeight="1"/>
    <s:row r="822" ht="15.75" customHeight="1"/>
    <s:row r="823" ht="15.75" customHeight="1"/>
    <s:row r="824" ht="15.75" customHeight="1"/>
    <s:row r="825" ht="15.75" customHeight="1"/>
    <s:row r="826" ht="15.75" customHeight="1"/>
    <s:row r="827" ht="15.75" customHeight="1"/>
    <s:row r="828" ht="15.75" customHeight="1"/>
    <s:row r="829" ht="15.75" customHeight="1"/>
    <s:row r="830" ht="15.75" customHeight="1"/>
    <s:row r="831" ht="15.75" customHeight="1"/>
    <s:row r="832" ht="15.75" customHeight="1"/>
    <s:row r="833" ht="15.75" customHeight="1"/>
    <s:row r="834" ht="15.75" customHeight="1"/>
    <s:row r="835" ht="15.75" customHeight="1"/>
    <s:row r="836" ht="15.75" customHeight="1"/>
    <s:row r="837" ht="15.75" customHeight="1"/>
    <s:row r="838" ht="15.75" customHeight="1"/>
    <s:row r="839" ht="15.75" customHeight="1"/>
    <s:row r="840" ht="15.75" customHeight="1"/>
    <s:row r="841" ht="15.75" customHeight="1"/>
    <s:row r="842" ht="15.75" customHeight="1"/>
    <s:row r="843" ht="15.75" customHeight="1"/>
    <s:row r="844" ht="15.75" customHeight="1"/>
    <s:row r="845" ht="15.75" customHeight="1"/>
    <s:row r="846" ht="15.75" customHeight="1"/>
    <s:row r="847" ht="15.75" customHeight="1"/>
    <s:row r="848" ht="15.75" customHeight="1"/>
    <s:row r="849" ht="15.75" customHeight="1"/>
    <s:row r="850" ht="15.75" customHeight="1"/>
    <s:row r="851" ht="15.75" customHeight="1"/>
    <s:row r="852" ht="15.75" customHeight="1"/>
    <s:row r="853" ht="15.75" customHeight="1"/>
    <s:row r="854" ht="15.75" customHeight="1"/>
    <s:row r="855" ht="15.75" customHeight="1"/>
    <s:row r="856" ht="15.75" customHeight="1"/>
    <s:row r="857" ht="15.75" customHeight="1"/>
    <s:row r="858" ht="15.75" customHeight="1"/>
    <s:row r="859" ht="15.75" customHeight="1"/>
    <s:row r="860" ht="15.75" customHeight="1"/>
    <s:row r="861" ht="15.75" customHeight="1"/>
    <s:row r="862" ht="15.75" customHeight="1"/>
    <s:row r="863" ht="15.75" customHeight="1"/>
    <s:row r="864" ht="15.75" customHeight="1"/>
    <s:row r="865" ht="15.75" customHeight="1"/>
    <s:row r="866" ht="15.75" customHeight="1"/>
    <s:row r="867" ht="15.75" customHeight="1"/>
    <s:row r="868" ht="15.75" customHeight="1"/>
    <s:row r="869" ht="15.75" customHeight="1"/>
    <s:row r="870" ht="15.75" customHeight="1"/>
    <s:row r="871" ht="15.75" customHeight="1"/>
    <s:row r="872" ht="15.75" customHeight="1"/>
    <s:row r="873" ht="15.75" customHeight="1"/>
    <s:row r="874" ht="15.75" customHeight="1"/>
    <s:row r="875" ht="15.75" customHeight="1"/>
    <s:row r="876" ht="15.75" customHeight="1"/>
    <s:row r="877" ht="15.75" customHeight="1"/>
    <s:row r="878" ht="15.75" customHeight="1"/>
    <s:row r="879" ht="15.75" customHeight="1"/>
    <s:row r="880" ht="15.75" customHeight="1"/>
    <s:row r="881" ht="15.75" customHeight="1"/>
    <s:row r="882" ht="15.75" customHeight="1"/>
    <s:row r="883" ht="15.75" customHeight="1"/>
    <s:row r="884" ht="15.75" customHeight="1"/>
    <s:row r="885" ht="15.75" customHeight="1"/>
    <s:row r="886" ht="15.75" customHeight="1"/>
    <s:row r="887" ht="15.75" customHeight="1"/>
    <s:row r="888" ht="15.75" customHeight="1"/>
    <s:row r="889" ht="15.75" customHeight="1"/>
    <s:row r="890" ht="15.75" customHeight="1"/>
    <s:row r="891" ht="15.75" customHeight="1"/>
    <s:row r="892" ht="15.75" customHeight="1"/>
    <s:row r="893" ht="15.75" customHeight="1"/>
    <s:row r="894" ht="15.75" customHeight="1"/>
    <s:row r="895" ht="15.75" customHeight="1"/>
    <s:row r="896" ht="15.75" customHeight="1"/>
    <s:row r="897" ht="15.75" customHeight="1"/>
    <s:row r="898" ht="15.75" customHeight="1"/>
    <s:row r="899" ht="15.75" customHeight="1"/>
    <s:row r="900" ht="15.75" customHeight="1"/>
    <s:row r="901" ht="15.75" customHeight="1"/>
    <s:row r="902" ht="15.75" customHeight="1"/>
    <s:row r="903" ht="15.75" customHeight="1"/>
    <s:row r="904" ht="15.75" customHeight="1"/>
    <s:row r="905" ht="15.75" customHeight="1"/>
    <s:row r="906" ht="15.75" customHeight="1"/>
    <s:row r="907" ht="15.75" customHeight="1"/>
    <s:row r="908" ht="15.75" customHeight="1"/>
    <s:row r="909" ht="15.75" customHeight="1"/>
    <s:row r="910" ht="15.75" customHeight="1"/>
    <s:row r="911" ht="15.75" customHeight="1"/>
    <s:row r="912" ht="15.75" customHeight="1"/>
    <s:row r="913" ht="15.75" customHeight="1"/>
    <s:row r="914" ht="15.75" customHeight="1"/>
    <s:row r="915" ht="15.75" customHeight="1"/>
    <s:row r="916" ht="15.75" customHeight="1"/>
    <s:row r="917" ht="15.75" customHeight="1"/>
    <s:row r="918" ht="15.75" customHeight="1"/>
    <s:row r="919" ht="15.75" customHeight="1"/>
    <s:row r="920" ht="15.75" customHeight="1"/>
    <s:row r="921" ht="15.75" customHeight="1"/>
    <s:row r="922" ht="15.75" customHeight="1"/>
    <s:row r="923" ht="15.75" customHeight="1"/>
    <s:row r="924" ht="15.75" customHeight="1"/>
    <s:row r="925" ht="15.75" customHeight="1"/>
    <s:row r="926" ht="15.75" customHeight="1"/>
    <s:row r="927" ht="15.75" customHeight="1"/>
    <s:row r="928" ht="15.75" customHeight="1"/>
    <s:row r="929" ht="15.75" customHeight="1"/>
    <s:row r="930" ht="15.75" customHeight="1"/>
    <s:row r="931" ht="15.75" customHeight="1"/>
    <s:row r="932" ht="15.75" customHeight="1"/>
    <s:row r="933" ht="15.75" customHeight="1"/>
    <s:row r="934" ht="15.75" customHeight="1"/>
    <s:row r="935" ht="15.75" customHeight="1"/>
    <s:row r="936" ht="15.75" customHeight="1"/>
    <s:row r="937" ht="15.75" customHeight="1"/>
    <s:row r="938" ht="15.75" customHeight="1"/>
    <s:row r="939" ht="15.75" customHeight="1"/>
    <s:row r="940" ht="15.75" customHeight="1"/>
    <s:row r="941" ht="15.75" customHeight="1"/>
    <s:row r="942" ht="15.75" customHeight="1"/>
    <s:row r="943" ht="15.75" customHeight="1"/>
    <s:row r="944" ht="15.75" customHeight="1"/>
    <s:row r="945" ht="15.75" customHeight="1"/>
    <s:row r="946" ht="15.75" customHeight="1"/>
    <s:row r="947" ht="15.75" customHeight="1"/>
    <s:row r="948" ht="15.75" customHeight="1"/>
    <s:row r="949" ht="15.75" customHeight="1"/>
    <s:row r="950" ht="15.75" customHeight="1"/>
    <s:row r="951" ht="15.75" customHeight="1"/>
    <s:row r="952" ht="15.75" customHeight="1"/>
    <s:row r="953" ht="15.75" customHeight="1"/>
    <s:row r="954" ht="15.75" customHeight="1"/>
    <s:row r="955" ht="15.75" customHeight="1"/>
    <s:row r="956" ht="15.75" customHeight="1"/>
    <s:row r="957" ht="15.75" customHeight="1"/>
    <s:row r="958" ht="15.75" customHeight="1"/>
    <s:row r="959" ht="15.75" customHeight="1"/>
    <s:row r="960" ht="15.75" customHeight="1"/>
    <s:row r="961" ht="15.75" customHeight="1"/>
    <s:row r="962" ht="15.75" customHeight="1"/>
    <s:row r="963" ht="15.75" customHeight="1"/>
    <s:row r="964" ht="15.75" customHeight="1"/>
    <s:row r="965" ht="15.75" customHeight="1"/>
    <s:row r="966" ht="15.75" customHeight="1"/>
    <s:row r="967" ht="15.75" customHeight="1"/>
    <s:row r="968" ht="15.75" customHeight="1"/>
    <s:row r="969" ht="15.75" customHeight="1"/>
    <s:row r="970" ht="15.75" customHeight="1"/>
    <s:row r="971" ht="15.75" customHeight="1"/>
    <s:row r="972" ht="15.75" customHeight="1"/>
    <s:row r="973" ht="15.75" customHeight="1"/>
    <s:row r="974" ht="15.75" customHeight="1"/>
    <s:row r="975" ht="15.75" customHeight="1"/>
    <s:row r="976" ht="15.75" customHeight="1"/>
    <s:row r="977" ht="15.75" customHeight="1"/>
    <s:row r="978" ht="15.75" customHeight="1"/>
    <s:row r="979" ht="15.75" customHeight="1"/>
    <s:row r="980" ht="15.75" customHeight="1"/>
    <s:row r="981" ht="15.75" customHeight="1"/>
    <s:row r="982" ht="15.75" customHeight="1"/>
    <s:row r="983" ht="15.75" customHeight="1"/>
    <s:row r="984" ht="15.75" customHeight="1"/>
    <s:row r="985" ht="15.75" customHeight="1"/>
    <s:row r="986" ht="15.75" customHeight="1"/>
    <s:row r="987" ht="15.75" customHeight="1"/>
    <s:row r="988" ht="15.75" customHeight="1"/>
    <s:row r="989" ht="15.75" customHeight="1"/>
    <s:row r="990" ht="15.75" customHeight="1"/>
    <s:row r="991" ht="15.75" customHeight="1"/>
    <s:row r="992" ht="15.75" customHeight="1"/>
    <s:row r="993" ht="15.75" customHeight="1"/>
    <s:row r="994" ht="15.75" customHeight="1"/>
    <s:row r="995" ht="15.75" customHeight="1"/>
    <s:row r="996" ht="15.75" customHeight="1"/>
    <s:row r="997" ht="15.75" customHeight="1"/>
    <s:row r="998" ht="15.75" customHeight="1"/>
    <s:row r="999" ht="15.75" customHeight="1"/>
    <s:row r="1000" ht="15.75" customHeight="1"/>
  </s:sheetData>
  <s:autoFilter ref="$A$4:$R$40"/>
  <s:conditionalFormatting sqref="O5:O1000">
    <s:cfRule type="expression" dxfId="1" priority="1">
      <s:formula>$O5="Done"</s:formula>
    </s:cfRule>
  </s:conditionalFormatting>
  <s:conditionalFormatting sqref="O5:O1000">
    <s:cfRule type="expression" dxfId="2" priority="2">
      <s:formula>$O5="In progress"</s:formula>
    </s:cfRule>
  </s:conditionalFormatting>
  <s:conditionalFormatting sqref="O5:O1000">
    <s:cfRule type="expression" dxfId="0" priority="3">
      <s:formula>$O5="Blocked"</s:formula>
    </s:cfRule>
  </s:conditionalFormatting>
  <s:conditionalFormatting sqref="S5:Y1000">
    <s:cfRule type="expression" dxfId="3" priority="4">
      <s:formula>AND(S5="■",$O5="Done")</s:formula>
    </s:cfRule>
  </s:conditionalFormatting>
  <s:conditionalFormatting sqref="S5:Y1000">
    <s:cfRule type="expression" dxfId="4" priority="5">
      <s:formula>AND(S5="■",$B5="Proposal")</s:formula>
    </s:cfRule>
  </s:conditionalFormatting>
  <s:conditionalFormatting sqref="S5:Y1000">
    <s:cfRule type="expression" dxfId="5" priority="6">
      <s:formula>S5="■"</s:formula>
    </s:cfRule>
  </s:conditionalFormatting>
  <s:conditionalFormatting sqref="M5:M1000">
    <s:cfRule type="expression" dxfId="6" priority="7">
      <s:formula>OR($M5="Extended",$M5="Stretch")</s:formula>
    </s:cfRule>
  </s:conditionalFormatting>
  <s:dataValidations>
    <s:dataValidation type="list" allowBlank="1" sqref="M5:M100">
      <s:formula1>Setup!$A$23:$A$27</s:formula1>
    </s:dataValidation>
    <s:dataValidation type="list" allowBlank="1" sqref="O5:O100">
      <s:formula1>Setup!$A$17:$A$20</s:formula1>
    </s:dataValidation>
    <s:dataValidation type="list" allowBlank="1" sqref="F5:F100">
      <s:formula1>Setup!$A$10:$A$13</s:formula1>
    </s:dataValidation>
  </s:dataValidations>
  <s:printOptions/>
  <s:pageMargins bottom="1.0" footer="0.0" header="0.0" left="0.75" right="0.75" top="1.0"/>
  <s:pageSetup paperSize="9" orientation="portrait"/>
  <s:drawing r:id="rId1"/>
</s: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4.0"/>
    <col customWidth="1" min="3" max="3" width="95.0"/>
    <col customWidth="1" min="4" max="26" width="8.71"/>
  </cols>
  <sheetData>
    <row r="1">
      <c r="A1" s="1" t="s">
        <v>2</v>
      </c>
    </row>
    <row r="3">
      <c r="A3" s="3" t="s">
        <v>4</v>
      </c>
    </row>
    <row r="4">
      <c r="A4" s="6" t="s">
        <v>7</v>
      </c>
      <c r="B4" s="7">
        <v>46315.0</v>
      </c>
      <c r="C4" s="2" t="s">
        <v>8</v>
      </c>
    </row>
    <row r="5">
      <c r="A5" s="6" t="s">
        <v>9</v>
      </c>
      <c r="B5" s="9">
        <v>6.0</v>
      </c>
      <c r="C5" s="2" t="s">
        <v>11</v>
      </c>
    </row>
    <row r="8">
      <c r="A8" s="10" t="s">
        <v>12</v>
      </c>
    </row>
    <row r="9">
      <c r="A9" s="12" t="s">
        <v>33</v>
      </c>
      <c r="B9" s="12" t="s">
        <v>43</v>
      </c>
      <c r="C9" s="12" t="s">
        <v>46</v>
      </c>
    </row>
    <row r="10">
      <c r="A10" s="16" t="s">
        <v>49</v>
      </c>
      <c r="B10" s="18" t="s">
        <v>52</v>
      </c>
      <c r="C10" s="20" t="s">
        <v>54</v>
      </c>
    </row>
    <row r="11">
      <c r="A11" s="16" t="s">
        <v>56</v>
      </c>
      <c r="B11" s="18" t="s">
        <v>57</v>
      </c>
      <c r="C11" s="20" t="s">
        <v>58</v>
      </c>
    </row>
    <row r="12">
      <c r="A12" s="16" t="s">
        <v>59</v>
      </c>
      <c r="B12" s="18" t="s">
        <v>60</v>
      </c>
      <c r="C12" s="20" t="s">
        <v>61</v>
      </c>
    </row>
    <row r="13">
      <c r="A13" s="16" t="s">
        <v>62</v>
      </c>
      <c r="B13" s="18" t="s">
        <v>63</v>
      </c>
      <c r="C13" s="20" t="s">
        <v>64</v>
      </c>
    </row>
    <row r="14">
      <c r="A14" s="2" t="s">
        <v>65</v>
      </c>
    </row>
    <row r="16">
      <c r="A16" s="6" t="s">
        <v>66</v>
      </c>
      <c r="B16" s="6" t="s">
        <v>67</v>
      </c>
    </row>
    <row r="17">
      <c r="A17" s="21" t="s">
        <v>17</v>
      </c>
      <c r="B17" s="22">
        <v>0.0</v>
      </c>
    </row>
    <row r="18">
      <c r="A18" s="21" t="s">
        <v>15</v>
      </c>
      <c r="B18" s="23">
        <v>0.5</v>
      </c>
    </row>
    <row r="19">
      <c r="A19" s="21" t="s">
        <v>16</v>
      </c>
      <c r="B19" s="23">
        <v>0.0</v>
      </c>
    </row>
    <row r="20">
      <c r="A20" s="21" t="s">
        <v>14</v>
      </c>
      <c r="B20" s="23">
        <v>1.0</v>
      </c>
    </row>
    <row r="21" ht="15.75" customHeight="1"/>
    <row r="22" ht="15.75" customHeight="1">
      <c r="A22" s="6" t="s">
        <v>68</v>
      </c>
    </row>
    <row r="23" ht="15.75" customHeight="1">
      <c r="A23" s="21" t="s">
        <v>69</v>
      </c>
    </row>
    <row r="24" ht="15.75" customHeight="1">
      <c r="A24" s="21" t="s">
        <v>70</v>
      </c>
    </row>
    <row r="25" ht="15.75" customHeight="1">
      <c r="A25" s="21" t="s">
        <v>71</v>
      </c>
    </row>
    <row r="26" ht="15.75" customHeight="1">
      <c r="A26" s="21" t="s">
        <v>72</v>
      </c>
    </row>
    <row r="27" ht="15.75" customHeight="1">
      <c r="A27" s="21" t="s">
        <v>73</v>
      </c>
    </row>
    <row r="28" ht="15.75" customHeight="1"/>
    <row r="29" ht="15.0" customHeight="1">
      <c r="A29" s="24" t="s">
        <v>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9:C31"/>
  </mergeCells>
  <printOptions/>
  <pageMargins bottom="1.0" footer="0.0" header="0.0" left="0.75" right="0.75" top="1.0"/>
  <pageSetup paperSize="9" orientation="portrait"/>
  <drawing r:id="rId1"/>
</worksheet>
</file>